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urple Line Contract 1&amp;2 Project\Survey Program\VBA-Traverse Computation Program\GitHub\"/>
    </mc:Choice>
  </mc:AlternateContent>
  <bookViews>
    <workbookView xWindow="-105" yWindow="-105" windowWidth="23250" windowHeight="12450" tabRatio="732"/>
  </bookViews>
  <sheets>
    <sheet name="TOPCON-TS RAW" sheetId="2" r:id="rId1"/>
    <sheet name="CLEAN-TS RAW" sheetId="3" r:id="rId2"/>
    <sheet name="TRAV STARNET-3D" sheetId="7" r:id="rId3"/>
    <sheet name="CLOSE TRAVERSE" sheetId="22" r:id="rId4"/>
    <sheet name="OPEN TRAV-3D" sheetId="29" r:id="rId5"/>
    <sheet name="SUM-DATA" sheetId="13" r:id="rId6"/>
    <sheet name="ANG-SET" sheetId="12" state="hidden" r:id="rId7"/>
  </sheets>
  <functionGroups builtInGroupCount="18"/>
  <definedNames>
    <definedName name="_xlnm._FilterDatabase" localSheetId="1" hidden="1">'CLEAN-TS RAW'!$B$1:$L$169</definedName>
    <definedName name="_xlnm._FilterDatabase" localSheetId="0" hidden="1">'TOPCON-TS RAW'!$A$1:$K$223</definedName>
    <definedName name="_xlnm._FilterDatabase" localSheetId="2" hidden="1">'TRAV STARNET-3D'!$B$1:$I$223</definedName>
    <definedName name="_xlnm.Print_Area" localSheetId="6">'ANG-SET'!$A$1:$AT$57</definedName>
    <definedName name="_xlnm.Print_Area" localSheetId="3">'CLOSE TRAVERSE'!$B$2:$X$40</definedName>
    <definedName name="_xlnm.Print_Area" localSheetId="4">'OPEN TRAV-3D'!$B$2:$V$37</definedName>
    <definedName name="_xlnm.Print_Titles" localSheetId="3">'CLOSE TRAVERSE'!$1:$17</definedName>
    <definedName name="_xlnm.Print_Titles" localSheetId="4">'OPEN TRAV-3D'!$1:$13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I4" i="12" l="1"/>
  <c r="AP30" i="12"/>
  <c r="BG24" i="12"/>
  <c r="BG4" i="12"/>
  <c r="BD24" i="12" l="1"/>
  <c r="BD25" i="12"/>
  <c r="BD26" i="12"/>
  <c r="BD27" i="12"/>
  <c r="BD28" i="12"/>
  <c r="BD29" i="12"/>
  <c r="BD30" i="12"/>
  <c r="BD31" i="12"/>
  <c r="BD32" i="12"/>
  <c r="BD33" i="12"/>
  <c r="BD34" i="12"/>
  <c r="BD35" i="12"/>
  <c r="BD36" i="12"/>
  <c r="BD37" i="12"/>
  <c r="BD38" i="12"/>
  <c r="BD23" i="12"/>
  <c r="BC24" i="12"/>
  <c r="BC25" i="12"/>
  <c r="BC26" i="12"/>
  <c r="BC27" i="12"/>
  <c r="BC28" i="12"/>
  <c r="BC29" i="12"/>
  <c r="BC30" i="12"/>
  <c r="BC31" i="12"/>
  <c r="BC32" i="12"/>
  <c r="BC33" i="12"/>
  <c r="BC34" i="12"/>
  <c r="BC35" i="12"/>
  <c r="BC36" i="12"/>
  <c r="BC37" i="12"/>
  <c r="BC38" i="12"/>
  <c r="BC23" i="12"/>
  <c r="BB24" i="12"/>
  <c r="BB25" i="12"/>
  <c r="BB26" i="12"/>
  <c r="BB27" i="12"/>
  <c r="BB28" i="12"/>
  <c r="BB29" i="12"/>
  <c r="BB30" i="12"/>
  <c r="BB31" i="12"/>
  <c r="BB32" i="12"/>
  <c r="BB33" i="12"/>
  <c r="BB34" i="12"/>
  <c r="BB35" i="12"/>
  <c r="BB36" i="12"/>
  <c r="BB37" i="12"/>
  <c r="BB38" i="12"/>
  <c r="BB23" i="12"/>
  <c r="BA24" i="12"/>
  <c r="BA25" i="12"/>
  <c r="BA26" i="12"/>
  <c r="BA27" i="12"/>
  <c r="BA28" i="12"/>
  <c r="BA29" i="12"/>
  <c r="BA30" i="12"/>
  <c r="BA31" i="12"/>
  <c r="BA32" i="12"/>
  <c r="BA33" i="12"/>
  <c r="BA34" i="12"/>
  <c r="BA35" i="12"/>
  <c r="BA36" i="12"/>
  <c r="BA37" i="12"/>
  <c r="BA38" i="12"/>
  <c r="BA23" i="12"/>
  <c r="AZ24" i="12"/>
  <c r="AZ25" i="12"/>
  <c r="AZ26" i="12"/>
  <c r="AZ27" i="12"/>
  <c r="AZ28" i="12"/>
  <c r="AZ29" i="12"/>
  <c r="AZ30" i="12"/>
  <c r="AZ31" i="12"/>
  <c r="AZ32" i="12"/>
  <c r="AZ33" i="12"/>
  <c r="AZ34" i="12"/>
  <c r="AZ35" i="12"/>
  <c r="AZ36" i="12"/>
  <c r="AZ37" i="12"/>
  <c r="AZ38" i="12"/>
  <c r="AZ23" i="12"/>
  <c r="AY24" i="12"/>
  <c r="AY25" i="12"/>
  <c r="AY26" i="12"/>
  <c r="AY27" i="12"/>
  <c r="AY28" i="12"/>
  <c r="AY29" i="12"/>
  <c r="AY30" i="12"/>
  <c r="AY31" i="12"/>
  <c r="AY32" i="12"/>
  <c r="AY33" i="12"/>
  <c r="AY34" i="12"/>
  <c r="AY35" i="12"/>
  <c r="AY36" i="12"/>
  <c r="AY37" i="12"/>
  <c r="AY38" i="12"/>
  <c r="AY23" i="12"/>
  <c r="AX24" i="12"/>
  <c r="AX25" i="12"/>
  <c r="AX26" i="12"/>
  <c r="AX27" i="12"/>
  <c r="AX28" i="12"/>
  <c r="AX29" i="12"/>
  <c r="AX30" i="12"/>
  <c r="AX31" i="12"/>
  <c r="AX32" i="12"/>
  <c r="AX33" i="12"/>
  <c r="AX34" i="12"/>
  <c r="AX35" i="12"/>
  <c r="AX36" i="12"/>
  <c r="AX37" i="12"/>
  <c r="AX38" i="12"/>
  <c r="AX23" i="12"/>
  <c r="AW24" i="12"/>
  <c r="AW25" i="12"/>
  <c r="AW26" i="12"/>
  <c r="AW27" i="12"/>
  <c r="AW28" i="12"/>
  <c r="AW29" i="12"/>
  <c r="AW30" i="12"/>
  <c r="AW31" i="12"/>
  <c r="AW32" i="12"/>
  <c r="AW33" i="12"/>
  <c r="AW34" i="12"/>
  <c r="AW35" i="12"/>
  <c r="AW36" i="12"/>
  <c r="AW37" i="12"/>
  <c r="AW38" i="12"/>
  <c r="AW23" i="12"/>
  <c r="AV24" i="12"/>
  <c r="AV25" i="12"/>
  <c r="AV26" i="12"/>
  <c r="AV27" i="12"/>
  <c r="AV28" i="12"/>
  <c r="AV29" i="12"/>
  <c r="AV30" i="12"/>
  <c r="AV31" i="12"/>
  <c r="AV32" i="12"/>
  <c r="AV33" i="12"/>
  <c r="AV34" i="12"/>
  <c r="AV35" i="12"/>
  <c r="AV36" i="12"/>
  <c r="AV37" i="12"/>
  <c r="AV38" i="12"/>
  <c r="AV23" i="12"/>
  <c r="BD4" i="12"/>
  <c r="BD5" i="12"/>
  <c r="BD6" i="12"/>
  <c r="BD7" i="12"/>
  <c r="BD8" i="12"/>
  <c r="BD9" i="12"/>
  <c r="BD10" i="12"/>
  <c r="BD11" i="12"/>
  <c r="BD12" i="12"/>
  <c r="BD13" i="12"/>
  <c r="BD14" i="12"/>
  <c r="BD15" i="12"/>
  <c r="BD16" i="12"/>
  <c r="BD17" i="12"/>
  <c r="BD18" i="12"/>
  <c r="BD3" i="12"/>
  <c r="BC4" i="12"/>
  <c r="BC5" i="12"/>
  <c r="BC6" i="12"/>
  <c r="BC7" i="12"/>
  <c r="BC8" i="12"/>
  <c r="BC9" i="12"/>
  <c r="BC10" i="12"/>
  <c r="BC11" i="12"/>
  <c r="BC12" i="12"/>
  <c r="BC13" i="12"/>
  <c r="BC14" i="12"/>
  <c r="BC15" i="12"/>
  <c r="BC16" i="12"/>
  <c r="BC17" i="12"/>
  <c r="BC18" i="12"/>
  <c r="BC3" i="12"/>
  <c r="BB4" i="12"/>
  <c r="BB5" i="12"/>
  <c r="BB6" i="12"/>
  <c r="BB7" i="12"/>
  <c r="BB8" i="12"/>
  <c r="BB9" i="12"/>
  <c r="BB10" i="12"/>
  <c r="BB11" i="12"/>
  <c r="BB12" i="12"/>
  <c r="BB13" i="12"/>
  <c r="BB14" i="12"/>
  <c r="BB15" i="12"/>
  <c r="BB16" i="12"/>
  <c r="BB17" i="12"/>
  <c r="BB18" i="12"/>
  <c r="BB3" i="12"/>
  <c r="BA4" i="12"/>
  <c r="BA5" i="12"/>
  <c r="BA6" i="12"/>
  <c r="BA7" i="12"/>
  <c r="BA8" i="12"/>
  <c r="BA9" i="12"/>
  <c r="BA10" i="12"/>
  <c r="BA11" i="12"/>
  <c r="BA12" i="12"/>
  <c r="BA13" i="12"/>
  <c r="BA14" i="12"/>
  <c r="BA15" i="12"/>
  <c r="BA16" i="12"/>
  <c r="BA17" i="12"/>
  <c r="BA18" i="12"/>
  <c r="BA3" i="12"/>
  <c r="AZ4" i="12"/>
  <c r="AZ5" i="12"/>
  <c r="AZ6" i="12"/>
  <c r="AZ7" i="12"/>
  <c r="AZ8" i="12"/>
  <c r="AZ9" i="12"/>
  <c r="AZ10" i="12"/>
  <c r="AZ11" i="12"/>
  <c r="AZ12" i="12"/>
  <c r="AZ13" i="12"/>
  <c r="AZ14" i="12"/>
  <c r="AZ15" i="12"/>
  <c r="AZ16" i="12"/>
  <c r="AZ17" i="12"/>
  <c r="AZ18" i="12"/>
  <c r="AZ3" i="12"/>
  <c r="AY4" i="12"/>
  <c r="AY5" i="12"/>
  <c r="AY6" i="12"/>
  <c r="AY7" i="12"/>
  <c r="AY8" i="12"/>
  <c r="AY9" i="12"/>
  <c r="AY10" i="12"/>
  <c r="AY11" i="12"/>
  <c r="AY12" i="12"/>
  <c r="AY13" i="12"/>
  <c r="AY14" i="12"/>
  <c r="AY15" i="12"/>
  <c r="AY16" i="12"/>
  <c r="AY17" i="12"/>
  <c r="AY18" i="12"/>
  <c r="AY3" i="12"/>
  <c r="AX4" i="12"/>
  <c r="AX5" i="12"/>
  <c r="AX6" i="12"/>
  <c r="AX7" i="12"/>
  <c r="AX8" i="12"/>
  <c r="AX9" i="12"/>
  <c r="AX10" i="12"/>
  <c r="AX11" i="12"/>
  <c r="AX12" i="12"/>
  <c r="AX13" i="12"/>
  <c r="AX14" i="12"/>
  <c r="AX15" i="12"/>
  <c r="AX16" i="12"/>
  <c r="AX17" i="12"/>
  <c r="AX18" i="12"/>
  <c r="AX3" i="12"/>
  <c r="AW4" i="12"/>
  <c r="AW5" i="12"/>
  <c r="AW6" i="12"/>
  <c r="AW7" i="12"/>
  <c r="AW8" i="12"/>
  <c r="AW9" i="12"/>
  <c r="AW10" i="12"/>
  <c r="AW11" i="12"/>
  <c r="AW12" i="12"/>
  <c r="AW13" i="12"/>
  <c r="AW14" i="12"/>
  <c r="AW15" i="12"/>
  <c r="AW16" i="12"/>
  <c r="AW17" i="12"/>
  <c r="AW18" i="12"/>
  <c r="AW3" i="12"/>
  <c r="AV4" i="12"/>
  <c r="AV5" i="12"/>
  <c r="AV6" i="12"/>
  <c r="AV7" i="12"/>
  <c r="AV8" i="12"/>
  <c r="AV9" i="12"/>
  <c r="AV10" i="12"/>
  <c r="AV11" i="12"/>
  <c r="AV12" i="12"/>
  <c r="AV13" i="12"/>
  <c r="AV14" i="12"/>
  <c r="AV3" i="12"/>
  <c r="AB17" i="29" l="1"/>
  <c r="AC17" i="29"/>
  <c r="AC18" i="22"/>
  <c r="AB18" i="22"/>
  <c r="G24" i="22" l="1"/>
  <c r="O24" i="22"/>
  <c r="O23" i="22"/>
  <c r="E23" i="22"/>
  <c r="G23" i="22"/>
  <c r="N18" i="13" l="1"/>
  <c r="N17" i="13"/>
  <c r="BB54" i="12" l="1"/>
  <c r="BB50" i="12"/>
  <c r="BB46" i="12"/>
  <c r="BB42" i="12"/>
  <c r="AZ54" i="12"/>
  <c r="AZ50" i="12"/>
  <c r="AZ46" i="12"/>
  <c r="AZ42" i="12"/>
  <c r="N19" i="13"/>
  <c r="AU1" i="12" l="1"/>
  <c r="BB55" i="12" l="1"/>
  <c r="BB56" i="12" s="1"/>
  <c r="BB57" i="12" s="1"/>
  <c r="AU38" i="12" s="1"/>
  <c r="BA54" i="12"/>
  <c r="AZ55" i="12"/>
  <c r="AZ56" i="12" s="1"/>
  <c r="AZ57" i="12" s="1"/>
  <c r="AU18" i="12" s="1"/>
  <c r="AV18" i="12" s="1"/>
  <c r="AY54" i="12"/>
  <c r="BB51" i="12"/>
  <c r="BA50" i="12"/>
  <c r="AZ51" i="12"/>
  <c r="AZ52" i="12" s="1"/>
  <c r="AZ53" i="12" s="1"/>
  <c r="AU14" i="12" s="1"/>
  <c r="AY50" i="12"/>
  <c r="BB47" i="12"/>
  <c r="BB48" i="12" s="1"/>
  <c r="AU29" i="12" s="1"/>
  <c r="BA46" i="12"/>
  <c r="AU7" i="12"/>
  <c r="AY46" i="12"/>
  <c r="BB43" i="12"/>
  <c r="AU24" i="12" s="1"/>
  <c r="AU23" i="12"/>
  <c r="BA42" i="12"/>
  <c r="AZ43" i="12"/>
  <c r="AZ44" i="12" s="1"/>
  <c r="AZ45" i="12" s="1"/>
  <c r="AU6" i="12" s="1"/>
  <c r="AY42" i="12"/>
  <c r="AU21" i="12"/>
  <c r="S1" i="12"/>
  <c r="AU13" i="12" l="1"/>
  <c r="AU17" i="12"/>
  <c r="AV17" i="12" s="1"/>
  <c r="AU15" i="12"/>
  <c r="AU27" i="12"/>
  <c r="AU31" i="12"/>
  <c r="A31" i="12" s="1"/>
  <c r="AU35" i="12"/>
  <c r="A35" i="12" s="1"/>
  <c r="AU16" i="12"/>
  <c r="AV16" i="12" s="1"/>
  <c r="B53" i="12"/>
  <c r="A14" i="12"/>
  <c r="A53" i="12" s="1"/>
  <c r="B14" i="12"/>
  <c r="D14" i="12" s="1"/>
  <c r="E14" i="12" s="1"/>
  <c r="C14" i="12"/>
  <c r="A24" i="12"/>
  <c r="B24" i="12"/>
  <c r="C24" i="12"/>
  <c r="C7" i="12"/>
  <c r="B46" i="12"/>
  <c r="N46" i="12" s="1"/>
  <c r="C46" i="12"/>
  <c r="A7" i="12"/>
  <c r="A46" i="12" s="1"/>
  <c r="B7" i="12"/>
  <c r="A18" i="12"/>
  <c r="A57" i="12" s="1"/>
  <c r="B18" i="12"/>
  <c r="C18" i="12"/>
  <c r="B57" i="12"/>
  <c r="C57" i="12"/>
  <c r="AU12" i="12"/>
  <c r="AU36" i="12"/>
  <c r="BB44" i="12"/>
  <c r="BB45" i="12" s="1"/>
  <c r="AU26" i="12" s="1"/>
  <c r="AU37" i="12"/>
  <c r="C52" i="12"/>
  <c r="A13" i="12"/>
  <c r="A52" i="12" s="1"/>
  <c r="B13" i="12"/>
  <c r="C13" i="12"/>
  <c r="B52" i="12"/>
  <c r="B23" i="12"/>
  <c r="C23" i="12"/>
  <c r="A23" i="12"/>
  <c r="A22" i="12"/>
  <c r="A38" i="12"/>
  <c r="B38" i="12"/>
  <c r="C38" i="12"/>
  <c r="C29" i="12"/>
  <c r="A29" i="12"/>
  <c r="B29" i="12"/>
  <c r="C54" i="12"/>
  <c r="A15" i="12"/>
  <c r="A54" i="12" s="1"/>
  <c r="A27" i="12"/>
  <c r="B27" i="12"/>
  <c r="C27" i="12"/>
  <c r="AU28" i="12"/>
  <c r="AZ47" i="12"/>
  <c r="AU11" i="12"/>
  <c r="B31" i="12"/>
  <c r="C31" i="12"/>
  <c r="B45" i="12"/>
  <c r="N45" i="12" s="1"/>
  <c r="X45" i="12" s="1"/>
  <c r="Y45" i="12" s="1"/>
  <c r="C45" i="12"/>
  <c r="B6" i="12"/>
  <c r="A6" i="12"/>
  <c r="A45" i="12" s="1"/>
  <c r="C6" i="12"/>
  <c r="AU5" i="12"/>
  <c r="AU3" i="12"/>
  <c r="AU4" i="12"/>
  <c r="BB52" i="12"/>
  <c r="AU32" i="12"/>
  <c r="C53" i="12"/>
  <c r="BB49" i="12"/>
  <c r="AU30" i="12" s="1"/>
  <c r="B56" i="12" l="1"/>
  <c r="D56" i="12" s="1"/>
  <c r="E56" i="12" s="1"/>
  <c r="F56" i="12" s="1"/>
  <c r="K56" i="12" s="1"/>
  <c r="B17" i="12"/>
  <c r="D17" i="12" s="1"/>
  <c r="E17" i="12" s="1"/>
  <c r="A17" i="12"/>
  <c r="A56" i="12" s="1"/>
  <c r="B55" i="12"/>
  <c r="D55" i="12" s="1"/>
  <c r="E55" i="12" s="1"/>
  <c r="C56" i="12"/>
  <c r="C17" i="12"/>
  <c r="B54" i="12"/>
  <c r="N54" i="12" s="1"/>
  <c r="AV15" i="12"/>
  <c r="C15" i="12"/>
  <c r="B15" i="12"/>
  <c r="A16" i="12"/>
  <c r="A55" i="12" s="1"/>
  <c r="C55" i="12"/>
  <c r="B16" i="12"/>
  <c r="D16" i="12" s="1"/>
  <c r="E16" i="12" s="1"/>
  <c r="C16" i="12"/>
  <c r="D46" i="12"/>
  <c r="E46" i="12" s="1"/>
  <c r="F46" i="12" s="1"/>
  <c r="C35" i="12"/>
  <c r="B35" i="12"/>
  <c r="D35" i="12" s="1"/>
  <c r="E35" i="12" s="1"/>
  <c r="A26" i="12"/>
  <c r="B26" i="12"/>
  <c r="D26" i="12" s="1"/>
  <c r="E26" i="12" s="1"/>
  <c r="C26" i="12"/>
  <c r="AZ48" i="12"/>
  <c r="AU8" i="12"/>
  <c r="B11" i="12"/>
  <c r="D11" i="12" s="1"/>
  <c r="E11" i="12" s="1"/>
  <c r="F11" i="12" s="1"/>
  <c r="K11" i="12" s="1"/>
  <c r="C11" i="12"/>
  <c r="B50" i="12"/>
  <c r="N50" i="12" s="1"/>
  <c r="A11" i="12"/>
  <c r="A50" i="12" s="1"/>
  <c r="C50" i="12"/>
  <c r="AU25" i="12"/>
  <c r="C28" i="12"/>
  <c r="A28" i="12"/>
  <c r="B28" i="12"/>
  <c r="D28" i="12" s="1"/>
  <c r="E28" i="12" s="1"/>
  <c r="A32" i="12"/>
  <c r="B32" i="12"/>
  <c r="D32" i="12" s="1"/>
  <c r="E32" i="12" s="1"/>
  <c r="C32" i="12"/>
  <c r="C37" i="12"/>
  <c r="A37" i="12"/>
  <c r="B37" i="12"/>
  <c r="D37" i="12" s="1"/>
  <c r="E37" i="12" s="1"/>
  <c r="B30" i="12"/>
  <c r="D30" i="12" s="1"/>
  <c r="E30" i="12" s="1"/>
  <c r="C30" i="12"/>
  <c r="A30" i="12"/>
  <c r="B36" i="12"/>
  <c r="D36" i="12" s="1"/>
  <c r="E36" i="12" s="1"/>
  <c r="C36" i="12"/>
  <c r="A36" i="12"/>
  <c r="A12" i="12"/>
  <c r="A51" i="12" s="1"/>
  <c r="C12" i="12"/>
  <c r="B12" i="12"/>
  <c r="D12" i="12" s="1"/>
  <c r="E12" i="12" s="1"/>
  <c r="B51" i="12"/>
  <c r="D51" i="12" s="1"/>
  <c r="E51" i="12" s="1"/>
  <c r="C51" i="12"/>
  <c r="BH45" i="12"/>
  <c r="B4" i="12"/>
  <c r="D4" i="12" s="1"/>
  <c r="E4" i="12" s="1"/>
  <c r="F4" i="12" s="1"/>
  <c r="K4" i="12" s="1"/>
  <c r="C4" i="12"/>
  <c r="B43" i="12"/>
  <c r="D43" i="12" s="1"/>
  <c r="E43" i="12" s="1"/>
  <c r="F43" i="12" s="1"/>
  <c r="K43" i="12" s="1"/>
  <c r="C43" i="12"/>
  <c r="B42" i="12"/>
  <c r="BH43" i="12"/>
  <c r="C3" i="12"/>
  <c r="B3" i="12"/>
  <c r="D3" i="12" s="1"/>
  <c r="E3" i="12" s="1"/>
  <c r="F3" i="12" s="1"/>
  <c r="K3" i="12" s="1"/>
  <c r="C42" i="12"/>
  <c r="C5" i="12"/>
  <c r="A5" i="12"/>
  <c r="A44" i="12" s="1"/>
  <c r="B5" i="12"/>
  <c r="D5" i="12" s="1"/>
  <c r="E5" i="12" s="1"/>
  <c r="F5" i="12" s="1"/>
  <c r="K5" i="12" s="1"/>
  <c r="B44" i="12"/>
  <c r="D44" i="12" s="1"/>
  <c r="E44" i="12" s="1"/>
  <c r="C44" i="12"/>
  <c r="BH44" i="12"/>
  <c r="D45" i="12"/>
  <c r="E45" i="12" s="1"/>
  <c r="F45" i="12" s="1"/>
  <c r="G45" i="12" s="1"/>
  <c r="Z45" i="12"/>
  <c r="D6" i="12"/>
  <c r="E6" i="12" s="1"/>
  <c r="D57" i="12"/>
  <c r="E57" i="12" s="1"/>
  <c r="N57" i="12"/>
  <c r="D13" i="12"/>
  <c r="E13" i="12" s="1"/>
  <c r="D24" i="12"/>
  <c r="E24" i="12" s="1"/>
  <c r="BB53" i="12"/>
  <c r="AU34" i="12" s="1"/>
  <c r="AU33" i="12"/>
  <c r="D52" i="12"/>
  <c r="E52" i="12" s="1"/>
  <c r="D31" i="12"/>
  <c r="E31" i="12" s="1"/>
  <c r="D53" i="12"/>
  <c r="E53" i="12" s="1"/>
  <c r="N53" i="12"/>
  <c r="D15" i="12"/>
  <c r="E15" i="12" s="1"/>
  <c r="F55" i="12"/>
  <c r="K55" i="12" s="1"/>
  <c r="D29" i="12"/>
  <c r="E29" i="12" s="1"/>
  <c r="D23" i="12"/>
  <c r="E23" i="12" s="1"/>
  <c r="F14" i="12"/>
  <c r="K14" i="12" s="1"/>
  <c r="D18" i="12"/>
  <c r="E18" i="12" s="1"/>
  <c r="D7" i="12"/>
  <c r="E7" i="12" s="1"/>
  <c r="X46" i="12"/>
  <c r="Y46" i="12" s="1"/>
  <c r="Z46" i="12" s="1"/>
  <c r="D38" i="12"/>
  <c r="E38" i="12" s="1"/>
  <c r="D27" i="12"/>
  <c r="E27" i="12" s="1"/>
  <c r="D54" i="12" l="1"/>
  <c r="E54" i="12" s="1"/>
  <c r="F54" i="12" s="1"/>
  <c r="A3" i="12"/>
  <c r="A42" i="12" s="1"/>
  <c r="BG43" i="12"/>
  <c r="A2" i="12"/>
  <c r="A41" i="12" s="1"/>
  <c r="BG44" i="12"/>
  <c r="A4" i="12"/>
  <c r="A43" i="12" s="1"/>
  <c r="BG45" i="12"/>
  <c r="D50" i="12"/>
  <c r="E50" i="12" s="1"/>
  <c r="F50" i="12" s="1"/>
  <c r="G50" i="12" s="1"/>
  <c r="H50" i="12" s="1"/>
  <c r="AZ49" i="12"/>
  <c r="AU10" i="12" s="1"/>
  <c r="AU9" i="12"/>
  <c r="A33" i="12"/>
  <c r="C33" i="12"/>
  <c r="B33" i="12"/>
  <c r="D33" i="12" s="1"/>
  <c r="E33" i="12" s="1"/>
  <c r="F33" i="12" s="1"/>
  <c r="K33" i="12" s="1"/>
  <c r="B34" i="12"/>
  <c r="D34" i="12" s="1"/>
  <c r="E34" i="12" s="1"/>
  <c r="F34" i="12" s="1"/>
  <c r="K34" i="12" s="1"/>
  <c r="BF25" i="12"/>
  <c r="A34" i="12"/>
  <c r="C34" i="12"/>
  <c r="A25" i="12"/>
  <c r="B25" i="12"/>
  <c r="D25" i="12" s="1"/>
  <c r="E25" i="12" s="1"/>
  <c r="F25" i="12" s="1"/>
  <c r="K25" i="12" s="1"/>
  <c r="C25" i="12"/>
  <c r="B8" i="12"/>
  <c r="D8" i="12" s="1"/>
  <c r="E8" i="12" s="1"/>
  <c r="F8" i="12" s="1"/>
  <c r="K8" i="12" s="1"/>
  <c r="C8" i="12"/>
  <c r="B47" i="12"/>
  <c r="D47" i="12" s="1"/>
  <c r="E47" i="12" s="1"/>
  <c r="C47" i="12"/>
  <c r="A8" i="12"/>
  <c r="A47" i="12" s="1"/>
  <c r="D42" i="12"/>
  <c r="E42" i="12" s="1"/>
  <c r="F42" i="12" s="1"/>
  <c r="G42" i="12" s="1"/>
  <c r="H42" i="12" s="1"/>
  <c r="N42" i="12"/>
  <c r="X42" i="12" s="1"/>
  <c r="Y42" i="12" s="1"/>
  <c r="G5" i="12"/>
  <c r="L5" i="12" s="1"/>
  <c r="G43" i="12"/>
  <c r="L43" i="12" s="1"/>
  <c r="G4" i="12"/>
  <c r="L4" i="12" s="1"/>
  <c r="G55" i="12"/>
  <c r="G11" i="12"/>
  <c r="H45" i="12"/>
  <c r="G46" i="12"/>
  <c r="H46" i="12" s="1"/>
  <c r="G14" i="12"/>
  <c r="L14" i="12" s="1"/>
  <c r="G3" i="12"/>
  <c r="G56" i="12"/>
  <c r="L56" i="12" s="1"/>
  <c r="F38" i="12"/>
  <c r="K38" i="12" s="1"/>
  <c r="F27" i="12"/>
  <c r="K27" i="12" s="1"/>
  <c r="F53" i="12"/>
  <c r="G53" i="12" s="1"/>
  <c r="H53" i="12" s="1"/>
  <c r="F26" i="12"/>
  <c r="K26" i="12" s="1"/>
  <c r="X50" i="12"/>
  <c r="Y50" i="12" s="1"/>
  <c r="Z50" i="12" s="1"/>
  <c r="X54" i="12"/>
  <c r="Y54" i="12" s="1"/>
  <c r="Z54" i="12" s="1"/>
  <c r="F30" i="12"/>
  <c r="K30" i="12" s="1"/>
  <c r="F37" i="12"/>
  <c r="K37" i="12" s="1"/>
  <c r="F31" i="12"/>
  <c r="K31" i="12" s="1"/>
  <c r="F44" i="12"/>
  <c r="K44" i="12" s="1"/>
  <c r="F13" i="12"/>
  <c r="K13" i="12" s="1"/>
  <c r="X57" i="12"/>
  <c r="F7" i="12"/>
  <c r="K7" i="12" s="1"/>
  <c r="F28" i="12"/>
  <c r="K28" i="12" s="1"/>
  <c r="F32" i="12"/>
  <c r="K32" i="12" s="1"/>
  <c r="F57" i="12"/>
  <c r="F16" i="12"/>
  <c r="K16" i="12" s="1"/>
  <c r="F36" i="12"/>
  <c r="K36" i="12" s="1"/>
  <c r="F17" i="12"/>
  <c r="K17" i="12" s="1"/>
  <c r="F23" i="12"/>
  <c r="K23" i="12" s="1"/>
  <c r="F24" i="12"/>
  <c r="K24" i="12" s="1"/>
  <c r="F35" i="12"/>
  <c r="K35" i="12" s="1"/>
  <c r="F6" i="12"/>
  <c r="K6" i="12" s="1"/>
  <c r="F12" i="12"/>
  <c r="K12" i="12" s="1"/>
  <c r="F18" i="12"/>
  <c r="K18" i="12" s="1"/>
  <c r="F29" i="12"/>
  <c r="K29" i="12" s="1"/>
  <c r="F15" i="12"/>
  <c r="K15" i="12" s="1"/>
  <c r="F52" i="12"/>
  <c r="K52" i="12" s="1"/>
  <c r="F51" i="12"/>
  <c r="K51" i="12" s="1"/>
  <c r="X53" i="12"/>
  <c r="Y53" i="12" s="1"/>
  <c r="Z53" i="12" s="1"/>
  <c r="BK25" i="12" l="1"/>
  <c r="G36" i="12"/>
  <c r="L36" i="12" s="1"/>
  <c r="BF24" i="12"/>
  <c r="BK24" i="12" s="1"/>
  <c r="BH25" i="12"/>
  <c r="A10" i="12"/>
  <c r="A49" i="12" s="1"/>
  <c r="B10" i="12"/>
  <c r="D10" i="12" s="1"/>
  <c r="E10" i="12" s="1"/>
  <c r="C49" i="12"/>
  <c r="C10" i="12"/>
  <c r="B49" i="12"/>
  <c r="BF5" i="12"/>
  <c r="G26" i="12"/>
  <c r="L26" i="12" s="1"/>
  <c r="F47" i="12"/>
  <c r="K47" i="12" s="1"/>
  <c r="B9" i="12"/>
  <c r="D9" i="12" s="1"/>
  <c r="E9" i="12" s="1"/>
  <c r="C9" i="12"/>
  <c r="B48" i="12"/>
  <c r="D48" i="12" s="1"/>
  <c r="E48" i="12" s="1"/>
  <c r="C48" i="12"/>
  <c r="A9" i="12"/>
  <c r="A48" i="12" s="1"/>
  <c r="G33" i="12"/>
  <c r="L33" i="12" s="1"/>
  <c r="G30" i="12"/>
  <c r="L30" i="12" s="1"/>
  <c r="H33" i="12"/>
  <c r="M33" i="12" s="1"/>
  <c r="N33" i="12" s="1"/>
  <c r="G24" i="12"/>
  <c r="L24" i="12" s="1"/>
  <c r="G23" i="12"/>
  <c r="L23" i="12" s="1"/>
  <c r="H5" i="12"/>
  <c r="M5" i="12" s="1"/>
  <c r="N5" i="12" s="1"/>
  <c r="X5" i="12" s="1"/>
  <c r="H43" i="12"/>
  <c r="M43" i="12" s="1"/>
  <c r="N43" i="12" s="1"/>
  <c r="O43" i="12" s="1"/>
  <c r="Q43" i="12" s="1"/>
  <c r="H4" i="12"/>
  <c r="M4" i="12" s="1"/>
  <c r="N4" i="12" s="1"/>
  <c r="X4" i="12" s="1"/>
  <c r="Y4" i="12" s="1"/>
  <c r="Z4" i="12" s="1"/>
  <c r="Z42" i="12"/>
  <c r="G51" i="12"/>
  <c r="L51" i="12" s="1"/>
  <c r="G8" i="12"/>
  <c r="L8" i="12" s="1"/>
  <c r="G16" i="12"/>
  <c r="L16" i="12" s="1"/>
  <c r="G44" i="12"/>
  <c r="L44" i="12" s="1"/>
  <c r="G27" i="12"/>
  <c r="L27" i="12" s="1"/>
  <c r="G35" i="12"/>
  <c r="L35" i="12" s="1"/>
  <c r="G32" i="12"/>
  <c r="L32" i="12" s="1"/>
  <c r="G28" i="12"/>
  <c r="L28" i="12" s="1"/>
  <c r="G37" i="12"/>
  <c r="L37" i="12" s="1"/>
  <c r="G29" i="12"/>
  <c r="L29" i="12" s="1"/>
  <c r="G31" i="12"/>
  <c r="L31" i="12" s="1"/>
  <c r="G38" i="12"/>
  <c r="L38" i="12" s="1"/>
  <c r="G25" i="12"/>
  <c r="L25" i="12" s="1"/>
  <c r="G34" i="12"/>
  <c r="L34" i="12" s="1"/>
  <c r="G15" i="12"/>
  <c r="L15" i="12" s="1"/>
  <c r="G12" i="12"/>
  <c r="L12" i="12" s="1"/>
  <c r="Y57" i="12"/>
  <c r="Z57" i="12" s="1"/>
  <c r="G57" i="12"/>
  <c r="H57" i="12" s="1"/>
  <c r="H14" i="12"/>
  <c r="M14" i="12" s="1"/>
  <c r="N14" i="12" s="1"/>
  <c r="G6" i="12"/>
  <c r="L6" i="12" s="1"/>
  <c r="G17" i="12"/>
  <c r="L3" i="12"/>
  <c r="H3" i="12"/>
  <c r="M3" i="12" s="1"/>
  <c r="G18" i="12"/>
  <c r="L18" i="12" s="1"/>
  <c r="L11" i="12"/>
  <c r="H11" i="12"/>
  <c r="M11" i="12" s="1"/>
  <c r="L55" i="12"/>
  <c r="H55" i="12"/>
  <c r="M55" i="12" s="1"/>
  <c r="G54" i="12"/>
  <c r="H54" i="12" s="1"/>
  <c r="G52" i="12"/>
  <c r="G7" i="12"/>
  <c r="L7" i="12" s="1"/>
  <c r="G13" i="12"/>
  <c r="L13" i="12" s="1"/>
  <c r="H56" i="12"/>
  <c r="M56" i="12" s="1"/>
  <c r="N56" i="12" s="1"/>
  <c r="G47" i="12" l="1"/>
  <c r="L47" i="12" s="1"/>
  <c r="H30" i="12"/>
  <c r="M30" i="12" s="1"/>
  <c r="N30" i="12" s="1"/>
  <c r="X30" i="12" s="1"/>
  <c r="Y30" i="12" s="1"/>
  <c r="H26" i="12"/>
  <c r="M26" i="12" s="1"/>
  <c r="N26" i="12" s="1"/>
  <c r="X26" i="12" s="1"/>
  <c r="Y26" i="12" s="1"/>
  <c r="BK5" i="12"/>
  <c r="BL5" i="12"/>
  <c r="H36" i="12"/>
  <c r="M36" i="12" s="1"/>
  <c r="N36" i="12" s="1"/>
  <c r="X36" i="12" s="1"/>
  <c r="Y36" i="12" s="1"/>
  <c r="H35" i="12"/>
  <c r="M35" i="12" s="1"/>
  <c r="N35" i="12" s="1"/>
  <c r="H31" i="12"/>
  <c r="M31" i="12" s="1"/>
  <c r="N31" i="12" s="1"/>
  <c r="X31" i="12" s="1"/>
  <c r="Y31" i="12" s="1"/>
  <c r="Z31" i="12" s="1"/>
  <c r="F10" i="12"/>
  <c r="G10" i="12" s="1"/>
  <c r="L10" i="12" s="1"/>
  <c r="H27" i="12"/>
  <c r="M27" i="12" s="1"/>
  <c r="N27" i="12" s="1"/>
  <c r="X27" i="12" s="1"/>
  <c r="Y27" i="12" s="1"/>
  <c r="Z27" i="12" s="1"/>
  <c r="F48" i="12"/>
  <c r="K48" i="12" s="1"/>
  <c r="BF4" i="12"/>
  <c r="BH5" i="12"/>
  <c r="BJ5" i="12"/>
  <c r="H24" i="12"/>
  <c r="M24" i="12" s="1"/>
  <c r="N24" i="12" s="1"/>
  <c r="X24" i="12" s="1"/>
  <c r="F9" i="12"/>
  <c r="G9" i="12" s="1"/>
  <c r="L9" i="12" s="1"/>
  <c r="N49" i="12"/>
  <c r="X49" i="12" s="1"/>
  <c r="Y49" i="12" s="1"/>
  <c r="Z49" i="12" s="1"/>
  <c r="D49" i="12"/>
  <c r="E49" i="12" s="1"/>
  <c r="F49" i="12" s="1"/>
  <c r="G49" i="12" s="1"/>
  <c r="H49" i="12" s="1"/>
  <c r="BF23" i="12"/>
  <c r="BK23" i="12" s="1"/>
  <c r="BH24" i="12"/>
  <c r="X43" i="12"/>
  <c r="Y43" i="12" s="1"/>
  <c r="Z43" i="12" s="1"/>
  <c r="H37" i="12"/>
  <c r="M37" i="12" s="1"/>
  <c r="N37" i="12" s="1"/>
  <c r="X37" i="12" s="1"/>
  <c r="Y37" i="12" s="1"/>
  <c r="H25" i="12"/>
  <c r="M25" i="12" s="1"/>
  <c r="N25" i="12" s="1"/>
  <c r="X25" i="12" s="1"/>
  <c r="H29" i="12"/>
  <c r="M29" i="12" s="1"/>
  <c r="N29" i="12" s="1"/>
  <c r="H23" i="12"/>
  <c r="M23" i="12" s="1"/>
  <c r="N23" i="12" s="1"/>
  <c r="X23" i="12" s="1"/>
  <c r="H15" i="12"/>
  <c r="M15" i="12" s="1"/>
  <c r="N15" i="12" s="1"/>
  <c r="H44" i="12"/>
  <c r="M44" i="12" s="1"/>
  <c r="N44" i="12" s="1"/>
  <c r="X44" i="12" s="1"/>
  <c r="Y44" i="12" s="1"/>
  <c r="Z44" i="12" s="1"/>
  <c r="H16" i="12"/>
  <c r="M16" i="12" s="1"/>
  <c r="N16" i="12" s="1"/>
  <c r="X16" i="12" s="1"/>
  <c r="Y16" i="12" s="1"/>
  <c r="Z16" i="12" s="1"/>
  <c r="H51" i="12"/>
  <c r="M51" i="12" s="1"/>
  <c r="N51" i="12" s="1"/>
  <c r="X51" i="12" s="1"/>
  <c r="Y51" i="12" s="1"/>
  <c r="H18" i="12"/>
  <c r="M18" i="12" s="1"/>
  <c r="N18" i="12" s="1"/>
  <c r="H8" i="12"/>
  <c r="M8" i="12" s="1"/>
  <c r="N8" i="12" s="1"/>
  <c r="X8" i="12" s="1"/>
  <c r="Y8" i="12" s="1"/>
  <c r="H12" i="12"/>
  <c r="M12" i="12" s="1"/>
  <c r="N12" i="12" s="1"/>
  <c r="X12" i="12" s="1"/>
  <c r="H6" i="12"/>
  <c r="M6" i="12" s="1"/>
  <c r="N6" i="12" s="1"/>
  <c r="O5" i="12" s="1"/>
  <c r="Q5" i="12" s="1"/>
  <c r="H32" i="12"/>
  <c r="M32" i="12" s="1"/>
  <c r="N32" i="12" s="1"/>
  <c r="H34" i="12"/>
  <c r="M34" i="12" s="1"/>
  <c r="N34" i="12" s="1"/>
  <c r="X33" i="12"/>
  <c r="Y33" i="12" s="1"/>
  <c r="H38" i="12"/>
  <c r="M38" i="12" s="1"/>
  <c r="N38" i="12" s="1"/>
  <c r="H28" i="12"/>
  <c r="M28" i="12" s="1"/>
  <c r="N28" i="12" s="1"/>
  <c r="X56" i="12"/>
  <c r="O56" i="12"/>
  <c r="Q56" i="12" s="1"/>
  <c r="H7" i="12"/>
  <c r="M7" i="12" s="1"/>
  <c r="N7" i="12" s="1"/>
  <c r="L52" i="12"/>
  <c r="H52" i="12"/>
  <c r="M52" i="12" s="1"/>
  <c r="N11" i="12"/>
  <c r="N3" i="12"/>
  <c r="L17" i="12"/>
  <c r="H17" i="12"/>
  <c r="M17" i="12" s="1"/>
  <c r="Y5" i="12"/>
  <c r="Z5" i="12" s="1"/>
  <c r="X14" i="12"/>
  <c r="Y14" i="12" s="1"/>
  <c r="Z14" i="12" s="1"/>
  <c r="AB43" i="12"/>
  <c r="AC43" i="12" s="1"/>
  <c r="AD43" i="12" s="1"/>
  <c r="N55" i="12"/>
  <c r="H13" i="12"/>
  <c r="M13" i="12" s="1"/>
  <c r="N13" i="12" s="1"/>
  <c r="H47" i="12" l="1"/>
  <c r="M47" i="12" s="1"/>
  <c r="N47" i="12" s="1"/>
  <c r="O36" i="12"/>
  <c r="Q36" i="12" s="1"/>
  <c r="BK4" i="12"/>
  <c r="BL4" i="12"/>
  <c r="O25" i="12"/>
  <c r="Q25" i="12" s="1"/>
  <c r="AB25" i="12" s="1"/>
  <c r="AC25" i="12" s="1"/>
  <c r="AD25" i="12" s="1"/>
  <c r="G48" i="12"/>
  <c r="Z36" i="12"/>
  <c r="Y25" i="12"/>
  <c r="Z25" i="12" s="1"/>
  <c r="K9" i="12"/>
  <c r="H9" i="12"/>
  <c r="M9" i="12" s="1"/>
  <c r="O37" i="12"/>
  <c r="Q37" i="12" s="1"/>
  <c r="AB37" i="12" s="1"/>
  <c r="AC37" i="12" s="1"/>
  <c r="AD37" i="12" s="1"/>
  <c r="Z33" i="12"/>
  <c r="BF22" i="12"/>
  <c r="BK22" i="12" s="1"/>
  <c r="BH23" i="12"/>
  <c r="BF3" i="12"/>
  <c r="BH4" i="12"/>
  <c r="BJ4" i="12"/>
  <c r="K10" i="12"/>
  <c r="H10" i="12"/>
  <c r="M10" i="12" s="1"/>
  <c r="X29" i="12"/>
  <c r="Y29" i="12" s="1"/>
  <c r="Z29" i="12" s="1"/>
  <c r="O29" i="12"/>
  <c r="Q29" i="12" s="1"/>
  <c r="AB29" i="12" s="1"/>
  <c r="Z26" i="12"/>
  <c r="X35" i="12"/>
  <c r="Y35" i="12" s="1"/>
  <c r="Z35" i="12" s="1"/>
  <c r="Z30" i="12"/>
  <c r="Y24" i="12"/>
  <c r="Z24" i="12" s="1"/>
  <c r="O24" i="12"/>
  <c r="Q24" i="12" s="1"/>
  <c r="AB24" i="12" s="1"/>
  <c r="AC24" i="12" s="1"/>
  <c r="AD24" i="12" s="1"/>
  <c r="Y23" i="12"/>
  <c r="Z23" i="12" s="1"/>
  <c r="O16" i="12"/>
  <c r="Q16" i="12" s="1"/>
  <c r="AB16" i="12" s="1"/>
  <c r="AC16" i="12" s="1"/>
  <c r="AD16" i="12" s="1"/>
  <c r="O44" i="12"/>
  <c r="Q44" i="12" s="1"/>
  <c r="S43" i="12" s="1"/>
  <c r="O51" i="12"/>
  <c r="Q51" i="12" s="1"/>
  <c r="AB51" i="12" s="1"/>
  <c r="AC51" i="12" s="1"/>
  <c r="AD51" i="12" s="1"/>
  <c r="X18" i="12"/>
  <c r="Y18" i="12" s="1"/>
  <c r="Z18" i="12" s="1"/>
  <c r="X15" i="12"/>
  <c r="Y15" i="12" s="1"/>
  <c r="X6" i="12"/>
  <c r="Y6" i="12" s="1"/>
  <c r="Z6" i="12" s="1"/>
  <c r="Y12" i="12"/>
  <c r="Z12" i="12" s="1"/>
  <c r="Z8" i="12"/>
  <c r="N17" i="12"/>
  <c r="O17" i="12" s="1"/>
  <c r="Q17" i="12" s="1"/>
  <c r="S16" i="12" s="1"/>
  <c r="X32" i="12"/>
  <c r="O32" i="12"/>
  <c r="Q32" i="12" s="1"/>
  <c r="X28" i="12"/>
  <c r="Y28" i="12" s="1"/>
  <c r="O28" i="12"/>
  <c r="Q28" i="12" s="1"/>
  <c r="X34" i="12"/>
  <c r="O33" i="12"/>
  <c r="Q33" i="12" s="1"/>
  <c r="Z37" i="12"/>
  <c r="X38" i="12"/>
  <c r="Y38" i="12" s="1"/>
  <c r="O8" i="12"/>
  <c r="Q8" i="12" s="1"/>
  <c r="X7" i="12"/>
  <c r="O13" i="12"/>
  <c r="Q13" i="12" s="1"/>
  <c r="X13" i="12"/>
  <c r="Y13" i="12" s="1"/>
  <c r="Z13" i="12" s="1"/>
  <c r="N52" i="12"/>
  <c r="O4" i="12"/>
  <c r="Q4" i="12" s="1"/>
  <c r="X3" i="12"/>
  <c r="Y3" i="12" s="1"/>
  <c r="Z3" i="12" s="1"/>
  <c r="AB56" i="12"/>
  <c r="Y56" i="12"/>
  <c r="Z56" i="12" s="1"/>
  <c r="AB5" i="12"/>
  <c r="AC5" i="12" s="1"/>
  <c r="AD5" i="12" s="1"/>
  <c r="Z51" i="12"/>
  <c r="X11" i="12"/>
  <c r="O12" i="12"/>
  <c r="Q12" i="12" s="1"/>
  <c r="X55" i="12"/>
  <c r="O55" i="12"/>
  <c r="Q55" i="12" s="1"/>
  <c r="S36" i="12" l="1"/>
  <c r="AF37" i="12" s="1"/>
  <c r="AG37" i="12" s="1"/>
  <c r="AB36" i="12"/>
  <c r="O47" i="12"/>
  <c r="Q47" i="12" s="1"/>
  <c r="AB47" i="12" s="1"/>
  <c r="AC47" i="12" s="1"/>
  <c r="AD47" i="12" s="1"/>
  <c r="X47" i="12"/>
  <c r="Y47" i="12" s="1"/>
  <c r="Z47" i="12" s="1"/>
  <c r="BF27" i="12"/>
  <c r="BK27" i="12" s="1"/>
  <c r="AP32" i="12" s="1"/>
  <c r="BK3" i="12"/>
  <c r="BL3" i="12"/>
  <c r="L48" i="12"/>
  <c r="H48" i="12"/>
  <c r="M48" i="12" s="1"/>
  <c r="N9" i="12"/>
  <c r="N10" i="12"/>
  <c r="X10" i="12" s="1"/>
  <c r="BH22" i="12"/>
  <c r="BG22" i="12"/>
  <c r="BF2" i="12"/>
  <c r="BF7" i="12" s="1"/>
  <c r="BH3" i="12"/>
  <c r="BJ3" i="12"/>
  <c r="Y32" i="12"/>
  <c r="Z32" i="12" s="1"/>
  <c r="Z28" i="12"/>
  <c r="S24" i="12"/>
  <c r="AF25" i="12" s="1"/>
  <c r="AG25" i="12" s="1"/>
  <c r="AH25" i="12" s="1"/>
  <c r="AB44" i="12"/>
  <c r="AC44" i="12" s="1"/>
  <c r="AD44" i="12" s="1"/>
  <c r="Z15" i="12"/>
  <c r="X17" i="12"/>
  <c r="Y17" i="12" s="1"/>
  <c r="Z17" i="12" s="1"/>
  <c r="Y7" i="12"/>
  <c r="Z7" i="12" s="1"/>
  <c r="Z38" i="12"/>
  <c r="AB33" i="12"/>
  <c r="AC29" i="12"/>
  <c r="AD29" i="12" s="1"/>
  <c r="AC36" i="12"/>
  <c r="AD36" i="12" s="1"/>
  <c r="Y34" i="12"/>
  <c r="Z34" i="12" s="1"/>
  <c r="S32" i="12"/>
  <c r="AB32" i="12"/>
  <c r="AC32" i="12" s="1"/>
  <c r="AB28" i="12"/>
  <c r="S28" i="12"/>
  <c r="AF17" i="12"/>
  <c r="AG17" i="12" s="1"/>
  <c r="AH17" i="12" s="1"/>
  <c r="AC56" i="12"/>
  <c r="AD56" i="12" s="1"/>
  <c r="AB13" i="12"/>
  <c r="O52" i="12"/>
  <c r="Q52" i="12" s="1"/>
  <c r="X52" i="12"/>
  <c r="Y52" i="12" s="1"/>
  <c r="Z52" i="12" s="1"/>
  <c r="S55" i="12"/>
  <c r="AB55" i="12"/>
  <c r="AB12" i="12"/>
  <c r="AC12" i="12" s="1"/>
  <c r="S12" i="12"/>
  <c r="Y55" i="12"/>
  <c r="Z55" i="12" s="1"/>
  <c r="Y11" i="12"/>
  <c r="Z11" i="12" s="1"/>
  <c r="AB4" i="12"/>
  <c r="AC4" i="12" s="1"/>
  <c r="AD4" i="12" s="1"/>
  <c r="S4" i="12"/>
  <c r="AB17" i="12"/>
  <c r="AC17" i="12" s="1"/>
  <c r="AD17" i="12" s="1"/>
  <c r="AF44" i="12"/>
  <c r="AB8" i="12"/>
  <c r="AC8" i="12" s="1"/>
  <c r="AD8" i="12" s="1"/>
  <c r="BH27" i="12" l="1"/>
  <c r="AP31" i="12" s="1"/>
  <c r="BL2" i="12"/>
  <c r="BL7" i="12"/>
  <c r="AP51" i="12" s="1"/>
  <c r="BL43" i="12" s="1"/>
  <c r="BK2" i="12"/>
  <c r="BK7" i="12"/>
  <c r="Y10" i="12"/>
  <c r="Z10" i="12" s="1"/>
  <c r="N48" i="12"/>
  <c r="X9" i="12"/>
  <c r="Y9" i="12" s="1"/>
  <c r="O9" i="12"/>
  <c r="Q9" i="12" s="1"/>
  <c r="BJ2" i="12"/>
  <c r="BG2" i="12"/>
  <c r="BI2" i="12"/>
  <c r="BH2" i="12"/>
  <c r="BH7" i="12"/>
  <c r="BJ7" i="12"/>
  <c r="AP50" i="12" s="1"/>
  <c r="BL45" i="12" s="1"/>
  <c r="AD32" i="12"/>
  <c r="AH37" i="12"/>
  <c r="AC28" i="12"/>
  <c r="AD28" i="12" s="1"/>
  <c r="AC55" i="12"/>
  <c r="AD55" i="12" s="1"/>
  <c r="AF29" i="12"/>
  <c r="U32" i="12"/>
  <c r="AF33" i="12"/>
  <c r="AG33" i="12" s="1"/>
  <c r="U24" i="12"/>
  <c r="AC33" i="12"/>
  <c r="AD33" i="12" s="1"/>
  <c r="AG44" i="12"/>
  <c r="AH44" i="12" s="1"/>
  <c r="AD12" i="12"/>
  <c r="AF13" i="12"/>
  <c r="U12" i="12"/>
  <c r="AB52" i="12"/>
  <c r="S51" i="12"/>
  <c r="AF5" i="12"/>
  <c r="AF56" i="12"/>
  <c r="AC13" i="12"/>
  <c r="AD13" i="12" s="1"/>
  <c r="AZ21" i="12" l="1"/>
  <c r="Z9" i="12"/>
  <c r="X48" i="12"/>
  <c r="O48" i="12"/>
  <c r="Q48" i="12" s="1"/>
  <c r="Y48" i="12"/>
  <c r="Z48" i="12" s="1"/>
  <c r="S8" i="12"/>
  <c r="AB9" i="12"/>
  <c r="AG29" i="12"/>
  <c r="AH29" i="12" s="1"/>
  <c r="AG13" i="12"/>
  <c r="AH13" i="12" s="1"/>
  <c r="AH33" i="12"/>
  <c r="AJ35" i="12"/>
  <c r="V30" i="12"/>
  <c r="AJ27" i="12"/>
  <c r="AG56" i="12"/>
  <c r="AH56" i="12" s="1"/>
  <c r="AF52" i="12"/>
  <c r="AG52" i="12" s="1"/>
  <c r="U51" i="12"/>
  <c r="AC52" i="12"/>
  <c r="AD52" i="12" s="1"/>
  <c r="AJ15" i="12"/>
  <c r="AK15" i="12" s="1"/>
  <c r="AL15" i="12" s="1"/>
  <c r="AG5" i="12"/>
  <c r="AH5" i="12" s="1"/>
  <c r="AK27" i="12" l="1"/>
  <c r="AL27" i="12" s="1"/>
  <c r="BG23" i="12" s="1"/>
  <c r="S47" i="12"/>
  <c r="AB48" i="12"/>
  <c r="AC48" i="12" s="1"/>
  <c r="AD48" i="12" s="1"/>
  <c r="U4" i="12"/>
  <c r="AF9" i="12"/>
  <c r="AG9" i="12" s="1"/>
  <c r="AC9" i="12"/>
  <c r="AD9" i="12" s="1"/>
  <c r="AK35" i="12"/>
  <c r="AL35" i="12" s="1"/>
  <c r="AM30" i="12"/>
  <c r="AN30" i="12" s="1"/>
  <c r="AO30" i="12" s="1"/>
  <c r="AJ54" i="12"/>
  <c r="AH52" i="12"/>
  <c r="AH9" i="12" l="1"/>
  <c r="U43" i="12"/>
  <c r="AF48" i="12"/>
  <c r="AG48" i="12" s="1"/>
  <c r="AH48" i="12" s="1"/>
  <c r="AJ7" i="12"/>
  <c r="V10" i="12"/>
  <c r="BG25" i="12"/>
  <c r="BG27" i="12" s="1"/>
  <c r="AK54" i="12"/>
  <c r="AL54" i="12" s="1"/>
  <c r="AK7" i="12" l="1"/>
  <c r="AL7" i="12" s="1"/>
  <c r="BG3" i="12"/>
  <c r="AJ46" i="12"/>
  <c r="V49" i="12"/>
  <c r="AM49" i="12" s="1"/>
  <c r="AM10" i="12"/>
  <c r="AN10" i="12" s="1"/>
  <c r="AO10" i="12" s="1"/>
  <c r="BG5" i="12" s="1"/>
  <c r="BG7" i="12" s="1"/>
  <c r="S18" i="12"/>
  <c r="AV21" i="12"/>
  <c r="AK46" i="12" l="1"/>
  <c r="AL46" i="12" s="1"/>
  <c r="AN49" i="12"/>
  <c r="AO49" i="12" s="1"/>
  <c r="AP18" i="12"/>
  <c r="T18" i="12"/>
  <c r="U18" i="12" s="1"/>
  <c r="V18" i="12" s="1"/>
  <c r="S19" i="12"/>
  <c r="BI3" i="12" l="1"/>
  <c r="BI5" i="12"/>
  <c r="BI7" i="12" s="1"/>
  <c r="AP49" i="12" s="1"/>
  <c r="BJ45" i="12" s="1"/>
  <c r="AS18" i="12"/>
  <c r="AP19" i="12" s="1"/>
  <c r="AT19" i="12"/>
  <c r="T19" i="12"/>
  <c r="S20" i="12"/>
  <c r="AQ21" i="12" l="1"/>
  <c r="S21" i="12"/>
  <c r="T20" i="12"/>
  <c r="U19" i="12"/>
  <c r="V19" i="12" s="1"/>
  <c r="AQ20" i="12" s="1"/>
  <c r="AS19" i="12" l="1"/>
  <c r="U20" i="12"/>
  <c r="V20" i="12" s="1"/>
  <c r="AS20" i="12" s="1"/>
  <c r="S22" i="12"/>
  <c r="T21" i="12"/>
  <c r="U21" i="12" l="1"/>
  <c r="V21" i="12" s="1"/>
  <c r="T22" i="12"/>
  <c r="U22" i="12" s="1"/>
  <c r="V22" i="12" s="1"/>
  <c r="AS21" i="12" l="1"/>
  <c r="AP10" i="12"/>
  <c r="BI44" i="12" s="1"/>
  <c r="AP12" i="12" l="1"/>
  <c r="BK43" i="12" s="1"/>
  <c r="AP11" i="12"/>
  <c r="BK45" i="12" s="1"/>
</calcChain>
</file>

<file path=xl/comments1.xml><?xml version="1.0" encoding="utf-8"?>
<comments xmlns="http://schemas.openxmlformats.org/spreadsheetml/2006/main">
  <authors>
    <author>USER</author>
  </authors>
  <commentList>
    <comment ref="Z12" authorId="0" shapeId="0">
      <text>
        <r>
          <rPr>
            <sz val="14"/>
            <color indexed="81"/>
            <rFont val="Arial Narrow"/>
            <family val="2"/>
          </rPr>
          <t>TRUE : ปรับแก้แบบ Direction และ Position
FALSE : ปรับแก้แบบ Single Point (Position)</t>
        </r>
      </text>
    </comment>
  </commentList>
</comments>
</file>

<file path=xl/sharedStrings.xml><?xml version="1.0" encoding="utf-8"?>
<sst xmlns="http://schemas.openxmlformats.org/spreadsheetml/2006/main" count="496" uniqueCount="181">
  <si>
    <t>HI</t>
  </si>
  <si>
    <t>TS Type</t>
  </si>
  <si>
    <t>Instrument</t>
  </si>
  <si>
    <t>Target Point</t>
  </si>
  <si>
    <t>(m.)</t>
  </si>
  <si>
    <t>(ddd.mmss)</t>
  </si>
  <si>
    <t>(mm.)</t>
  </si>
  <si>
    <t>Code</t>
  </si>
  <si>
    <t>Horizontal Ang.</t>
  </si>
  <si>
    <t>Zenith Ang.</t>
  </si>
  <si>
    <t>Horizontal Dist.</t>
  </si>
  <si>
    <t>Slope Dist.</t>
  </si>
  <si>
    <t>BS</t>
  </si>
  <si>
    <t>HT</t>
  </si>
  <si>
    <t>Prism Con.</t>
  </si>
  <si>
    <r>
      <rPr>
        <i/>
        <sz val="10"/>
        <color rgb="FF0000FF"/>
        <rFont val="Arial"/>
        <family val="2"/>
      </rPr>
      <t>DB</t>
    </r>
    <r>
      <rPr>
        <sz val="10"/>
        <rFont val="Arial"/>
        <family val="2"/>
      </rPr>
      <t>: Begin Direction Set</t>
    </r>
  </si>
  <si>
    <r>
      <rPr>
        <i/>
        <sz val="10"/>
        <color rgb="FF0000FF"/>
        <rFont val="Arial"/>
        <family val="2"/>
      </rPr>
      <t>DM</t>
    </r>
    <r>
      <rPr>
        <sz val="10"/>
        <rFont val="Arial"/>
        <family val="2"/>
      </rPr>
      <t>: Direction with Measure Data</t>
    </r>
  </si>
  <si>
    <r>
      <rPr>
        <i/>
        <sz val="10"/>
        <color rgb="FF0000FF"/>
        <rFont val="Arial"/>
        <family val="2"/>
      </rPr>
      <t>DE</t>
    </r>
    <r>
      <rPr>
        <sz val="10"/>
        <rFont val="Arial"/>
        <family val="2"/>
      </rPr>
      <t>: End Direction Set</t>
    </r>
  </si>
  <si>
    <r>
      <rPr>
        <i/>
        <sz val="10"/>
        <color rgb="FF0000FF"/>
        <rFont val="Arial"/>
        <family val="2"/>
      </rPr>
      <t>C</t>
    </r>
    <r>
      <rPr>
        <sz val="10"/>
        <rFont val="Arial"/>
        <family val="2"/>
      </rPr>
      <t>: Coordinate values for a station</t>
    </r>
  </si>
  <si>
    <r>
      <rPr>
        <i/>
        <sz val="10"/>
        <color rgb="FF0000FF"/>
        <rFont val="Arial"/>
        <family val="2"/>
      </rPr>
      <t>!</t>
    </r>
    <r>
      <rPr>
        <sz val="10"/>
        <rFont val="Arial"/>
        <family val="2"/>
      </rPr>
      <t>: Fixed data</t>
    </r>
  </si>
  <si>
    <t>Star*Net Code Type</t>
  </si>
  <si>
    <t>Line No.</t>
  </si>
  <si>
    <r>
      <rPr>
        <i/>
        <sz val="10"/>
        <color rgb="FF0000FF"/>
        <rFont val="Arial"/>
        <family val="2"/>
      </rPr>
      <t>M</t>
    </r>
    <r>
      <rPr>
        <sz val="10"/>
        <rFont val="Arial"/>
        <family val="2"/>
      </rPr>
      <t>: Measurements to Another Station</t>
    </r>
  </si>
  <si>
    <r>
      <t>Type - the type of point</t>
    </r>
    <r>
      <rPr>
        <sz val="10"/>
        <color rgb="FF000000"/>
        <rFont val="Arial"/>
        <family val="2"/>
      </rPr>
      <t xml:space="preserve"> </t>
    </r>
  </si>
  <si>
    <r>
      <t>SS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side shot point </t>
    </r>
  </si>
  <si>
    <r>
      <t>BS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backsight point (the previous occupation point) </t>
    </r>
  </si>
  <si>
    <r>
      <t>FS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foresight point (the next occupation point) </t>
    </r>
  </si>
  <si>
    <r>
      <t>BKB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backsight bearing point </t>
    </r>
  </si>
  <si>
    <r>
      <t>OCC</t>
    </r>
    <r>
      <rPr>
        <i/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 xml:space="preserve">occupation point </t>
    </r>
  </si>
  <si>
    <r>
      <rPr>
        <i/>
        <sz val="10"/>
        <color rgb="FF0000FF"/>
        <rFont val="Arial"/>
        <family val="2"/>
      </rPr>
      <t>E</t>
    </r>
    <r>
      <rPr>
        <sz val="10"/>
        <rFont val="Arial"/>
        <family val="2"/>
      </rPr>
      <t>:  Elevation for a Station</t>
    </r>
  </si>
  <si>
    <r>
      <rPr>
        <i/>
        <sz val="10"/>
        <color rgb="FF0000FF"/>
        <rFont val="Arial"/>
        <family val="2"/>
      </rPr>
      <t>D</t>
    </r>
    <r>
      <rPr>
        <sz val="10"/>
        <rFont val="Arial"/>
        <family val="2"/>
      </rPr>
      <t>: Distance</t>
    </r>
  </si>
  <si>
    <r>
      <rPr>
        <i/>
        <sz val="10"/>
        <color rgb="FF0000FF"/>
        <rFont val="Arial"/>
        <family val="2"/>
      </rPr>
      <t>B</t>
    </r>
    <r>
      <rPr>
        <sz val="10"/>
        <rFont val="Arial"/>
        <family val="2"/>
      </rPr>
      <t>: Bearing or Azimuth</t>
    </r>
  </si>
  <si>
    <t>L</t>
  </si>
  <si>
    <t>Num. of Set</t>
  </si>
  <si>
    <t>Horizontal FW</t>
  </si>
  <si>
    <t>H.Angle</t>
  </si>
  <si>
    <t>H.Dist</t>
  </si>
  <si>
    <t>Hide&gt;&gt;&gt;</t>
  </si>
  <si>
    <t>Face</t>
  </si>
  <si>
    <t>Record Data</t>
  </si>
  <si>
    <t>&lt;&lt;=idea</t>
  </si>
  <si>
    <t>&lt;&lt;&lt;Hide</t>
  </si>
  <si>
    <t>Data Angle</t>
  </si>
  <si>
    <t>Observe Angle</t>
  </si>
  <si>
    <t>One set</t>
  </si>
  <si>
    <t>Two set</t>
  </si>
  <si>
    <t>Four set</t>
  </si>
  <si>
    <t>SET</t>
  </si>
  <si>
    <t>HA</t>
  </si>
  <si>
    <t>Angle</t>
  </si>
  <si>
    <t>Pt. From</t>
  </si>
  <si>
    <t>Insrument H.</t>
  </si>
  <si>
    <t>Pt. To</t>
  </si>
  <si>
    <t>Reflector H.</t>
  </si>
  <si>
    <t>Hor. Angle</t>
  </si>
  <si>
    <t>Hor. Dist</t>
  </si>
  <si>
    <t>Zenith</t>
  </si>
  <si>
    <t>Slope Dist</t>
  </si>
  <si>
    <t>Ver. Dist</t>
  </si>
  <si>
    <t>FS</t>
  </si>
  <si>
    <t>R</t>
  </si>
  <si>
    <t>Horizontal BW</t>
  </si>
  <si>
    <t>-</t>
  </si>
  <si>
    <t>Vertical</t>
  </si>
  <si>
    <t>V.Angle</t>
  </si>
  <si>
    <t>S.Dist</t>
  </si>
  <si>
    <t xml:space="preserve">                 SELECT SET</t>
  </si>
  <si>
    <t>SET FW</t>
  </si>
  <si>
    <t>SET BW</t>
  </si>
  <si>
    <t>Type</t>
  </si>
  <si>
    <t>Survey Engineer</t>
  </si>
  <si>
    <t>Traverse Angle Set</t>
  </si>
  <si>
    <t>By Anon C.</t>
  </si>
  <si>
    <t>FS-HD</t>
  </si>
  <si>
    <t>FS-VA</t>
  </si>
  <si>
    <t>FS-SD</t>
  </si>
  <si>
    <t>BS-HD</t>
  </si>
  <si>
    <t>BS-SD</t>
  </si>
  <si>
    <t>1. Information</t>
  </si>
  <si>
    <t>No.</t>
  </si>
  <si>
    <t>Name</t>
  </si>
  <si>
    <t>Input</t>
  </si>
  <si>
    <t>Loop :</t>
  </si>
  <si>
    <t>Location :</t>
  </si>
  <si>
    <t>Calculated Date :</t>
  </si>
  <si>
    <t>Calculated By :</t>
  </si>
  <si>
    <t>Instrument :</t>
  </si>
  <si>
    <t>Serial No.:</t>
  </si>
  <si>
    <t>2. Number of Station</t>
  </si>
  <si>
    <t>Number of Station :</t>
  </si>
  <si>
    <t>3. Fixed Control Points and Scale Factor</t>
  </si>
  <si>
    <t>Station</t>
  </si>
  <si>
    <t>Easting (m.)</t>
  </si>
  <si>
    <t>Northing (m.)</t>
  </si>
  <si>
    <t>Coordinate Reference System</t>
  </si>
  <si>
    <t>Coordinate of Backsight :</t>
  </si>
  <si>
    <t>System / Datum :</t>
  </si>
  <si>
    <t>Coordinate of Start :</t>
  </si>
  <si>
    <t>Semi-major axis (a) :</t>
  </si>
  <si>
    <t>Coordinate of End :</t>
  </si>
  <si>
    <t>flattening (1/f) :</t>
  </si>
  <si>
    <t>Coordinate of Foresight :</t>
  </si>
  <si>
    <t>Line Grid Scale Factor :</t>
  </si>
  <si>
    <t>4. Observation Data</t>
  </si>
  <si>
    <t>Observed Angle</t>
  </si>
  <si>
    <t>Observed Dist. (m.)</t>
  </si>
  <si>
    <t>deg</t>
  </si>
  <si>
    <t>min</t>
  </si>
  <si>
    <t>sec</t>
  </si>
  <si>
    <t>Diff.</t>
  </si>
  <si>
    <t>Fixed Departure (m.) :</t>
  </si>
  <si>
    <t>Fixed Latitude (m.) :</t>
  </si>
  <si>
    <t>Error Departure (m.) :</t>
  </si>
  <si>
    <t>Error Latitude (m.) :</t>
  </si>
  <si>
    <t>Linear Closure (m.) :</t>
  </si>
  <si>
    <t>Accuracy :  1:</t>
  </si>
  <si>
    <t>Line Grid Scale Factor (by Simpson's Rule)</t>
  </si>
  <si>
    <t>Corr</t>
  </si>
  <si>
    <t>Adjusted Azimuth</t>
  </si>
  <si>
    <t>Grid Dist. (m.)</t>
  </si>
  <si>
    <t>Departure (m.)</t>
  </si>
  <si>
    <t>Latitude (m.)</t>
  </si>
  <si>
    <t>Correction</t>
  </si>
  <si>
    <t>Adjusted Coordinates</t>
  </si>
  <si>
    <t>sec.</t>
  </si>
  <si>
    <t>Dep. (m.)</t>
  </si>
  <si>
    <t>Lat. (m.)</t>
  </si>
  <si>
    <t xml:space="preserve"> FGCC1984 Classification "Second Order Class II"</t>
  </si>
  <si>
    <t xml:space="preserve">Azimuth Closure </t>
  </si>
  <si>
    <t>Position Closure</t>
  </si>
  <si>
    <t xml:space="preserve"> After Azimuth Adjustment  :</t>
  </si>
  <si>
    <t xml:space="preserve">Actual Closure  : </t>
  </si>
  <si>
    <t>Actual Closure  :</t>
  </si>
  <si>
    <t>The Contractor</t>
  </si>
  <si>
    <t>The Consultant</t>
  </si>
  <si>
    <t>Date :</t>
  </si>
  <si>
    <t>By Suben Mukem (SBM)</t>
  </si>
  <si>
    <t>TRAVERSE COMPUTATION</t>
  </si>
  <si>
    <t>Sketch of Traverse :</t>
  </si>
  <si>
    <t>CLOSE TRAVERSE</t>
  </si>
  <si>
    <t xml:space="preserve"> (m.)</t>
  </si>
  <si>
    <t>OPEN TRAVERSE-3D</t>
  </si>
  <si>
    <t>HP.(FS)</t>
  </si>
  <si>
    <t>HI.</t>
  </si>
  <si>
    <t>Slope Dist (FS)</t>
  </si>
  <si>
    <t>Hor.Dist (FS)</t>
  </si>
  <si>
    <t>OPEN TRAVERSE - 3D</t>
  </si>
  <si>
    <t>Horizontal Angle</t>
  </si>
  <si>
    <t>Coordinates</t>
  </si>
  <si>
    <t>Elevation (m.)</t>
  </si>
  <si>
    <t>Zenith Angle (FS)</t>
  </si>
  <si>
    <t>Azimuth (FS)</t>
  </si>
  <si>
    <t>Hor. Dist. (m.)</t>
  </si>
  <si>
    <t>dd</t>
  </si>
  <si>
    <t>mm</t>
  </si>
  <si>
    <t>ss</t>
  </si>
  <si>
    <t>Horzontal Dist. of Backsight (m.) :</t>
  </si>
  <si>
    <t>Slope Dist. of Backsight (m.) :</t>
  </si>
  <si>
    <t>FW / BW</t>
  </si>
  <si>
    <t>SET NO.</t>
  </si>
  <si>
    <t>SUMMARY DATA</t>
  </si>
  <si>
    <t>OCC</t>
  </si>
  <si>
    <t>FORWARD RUN</t>
  </si>
  <si>
    <t>BACKWARD RUN</t>
  </si>
  <si>
    <t>Height</t>
  </si>
  <si>
    <t>Mean FS</t>
  </si>
  <si>
    <t>Fixed Azimuth of Start :</t>
  </si>
  <si>
    <t>Observed Azimuth of End :</t>
  </si>
  <si>
    <t>Fixed Azimuth of End :</t>
  </si>
  <si>
    <t>Azimuth Closure :</t>
  </si>
  <si>
    <t>Total Grid Distance (m.) :</t>
  </si>
  <si>
    <t>Sum. Departure (m.) :</t>
  </si>
  <si>
    <t>Sum. Latitude (m.) :</t>
  </si>
  <si>
    <t>Sum. Observed Angle :</t>
  </si>
  <si>
    <t>Adjusted Angle</t>
  </si>
  <si>
    <t>Correction Angle / Station :</t>
  </si>
  <si>
    <t>Total Distance (m.) :</t>
  </si>
  <si>
    <t>HI./HP. (m.)</t>
  </si>
  <si>
    <t>Zenith Angle of Backsight :</t>
  </si>
  <si>
    <t>Grid Hor.Dist (FS)</t>
  </si>
  <si>
    <t>VBA - Traverse Computation Program Rev.16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</si>
</sst>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164" formatCode="0.000"/>
    <numFmt numFmtId="165" formatCode="000.0000"/>
    <numFmt numFmtId="166" formatCode="0.0000"/>
    <numFmt numFmtId="167" formatCode="000"/>
    <numFmt numFmtId="168" formatCode="00"/>
    <numFmt numFmtId="169" formatCode="00.00"/>
    <numFmt numFmtId="170" formatCode="0.000000"/>
    <numFmt numFmtId="171" formatCode="000.00000000"/>
    <numFmt numFmtId="172" formatCode="000.\ 00\ 00.00"/>
    <numFmt numFmtId="173" formatCode="[$-809]dd\ mmmm\ yyyy;@"/>
    <numFmt numFmtId="174" formatCode="0.000000000"/>
    <numFmt numFmtId="175" formatCode="0.00000"/>
    <numFmt numFmtId="176" formatCode="0.00000000000"/>
    <numFmt numFmtId="177" formatCode="0.0"/>
    <numFmt numFmtId="178" formatCode="&quot;1 : &quot;#,##0"/>
    <numFmt numFmtId="179" formatCode="00.000"/>
    <numFmt numFmtId="180" formatCode="000.00000"/>
  </numFmts>
  <fonts count="41">
    <font>
      <sz val="11"/>
      <color theme="1"/>
      <name val="Calibri"/>
      <family val="2"/>
      <charset val="22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i/>
      <sz val="10"/>
      <color rgb="FF0000FF"/>
      <name val="Arial"/>
      <family val="2"/>
    </font>
    <font>
      <i/>
      <sz val="11"/>
      <color rgb="FF0000FF"/>
      <name val="Arial"/>
      <family val="2"/>
    </font>
    <font>
      <b/>
      <u/>
      <sz val="10"/>
      <color rgb="FF000000"/>
      <name val="Arial"/>
      <family val="2"/>
    </font>
    <font>
      <sz val="10"/>
      <color rgb="FF000000"/>
      <name val="Arial"/>
      <family val="2"/>
    </font>
    <font>
      <i/>
      <sz val="10"/>
      <color rgb="FF00000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b/>
      <sz val="8"/>
      <color rgb="FF0000FF"/>
      <name val="Arial"/>
      <family val="2"/>
    </font>
    <font>
      <b/>
      <sz val="8"/>
      <color rgb="FF00FF00"/>
      <name val="Arial"/>
      <family val="2"/>
    </font>
    <font>
      <sz val="8"/>
      <color rgb="FF0000FF"/>
      <name val="Arial"/>
      <family val="2"/>
    </font>
    <font>
      <sz val="8"/>
      <color indexed="10"/>
      <name val="Arial"/>
      <family val="2"/>
    </font>
    <font>
      <sz val="8"/>
      <color rgb="FF00FF00"/>
      <name val="Arial"/>
      <family val="2"/>
    </font>
    <font>
      <sz val="8"/>
      <color theme="0"/>
      <name val="Arial"/>
      <family val="2"/>
    </font>
    <font>
      <b/>
      <i/>
      <sz val="8"/>
      <color theme="1"/>
      <name val="Arial"/>
      <family val="2"/>
    </font>
    <font>
      <i/>
      <sz val="8"/>
      <color theme="1"/>
      <name val="Arial"/>
      <family val="2"/>
    </font>
    <font>
      <b/>
      <i/>
      <sz val="20"/>
      <name val="Arial Narrow"/>
      <family val="2"/>
    </font>
    <font>
      <sz val="16"/>
      <name val="Arial Narrow"/>
      <family val="2"/>
    </font>
    <font>
      <i/>
      <sz val="16"/>
      <name val="Arial Narrow"/>
      <family val="2"/>
    </font>
    <font>
      <sz val="20"/>
      <name val="Arial Narrow"/>
      <family val="2"/>
    </font>
    <font>
      <i/>
      <sz val="20"/>
      <name val="Arial Narrow"/>
      <family val="2"/>
    </font>
    <font>
      <b/>
      <sz val="16"/>
      <name val="Arial Narrow"/>
      <family val="2"/>
    </font>
    <font>
      <b/>
      <u/>
      <sz val="16"/>
      <name val="Arial Narrow"/>
      <family val="2"/>
    </font>
    <font>
      <sz val="16"/>
      <color theme="1"/>
      <name val="Arial Narrow"/>
      <family val="2"/>
    </font>
    <font>
      <b/>
      <sz val="26"/>
      <name val="Arial Narrow"/>
      <family val="2"/>
    </font>
    <font>
      <b/>
      <sz val="20"/>
      <name val="Arial Narrow"/>
      <family val="2"/>
    </font>
    <font>
      <b/>
      <sz val="22"/>
      <name val="Arial Narrow"/>
      <family val="2"/>
    </font>
    <font>
      <b/>
      <sz val="28"/>
      <name val="Arial Narrow"/>
      <family val="2"/>
    </font>
    <font>
      <b/>
      <sz val="16"/>
      <color theme="1"/>
      <name val="Arial Narrow"/>
      <family val="2"/>
    </font>
    <font>
      <b/>
      <i/>
      <sz val="16"/>
      <color theme="1"/>
      <name val="Arial Narrow"/>
      <family val="2"/>
    </font>
    <font>
      <i/>
      <sz val="16"/>
      <color theme="1"/>
      <name val="Arial Narrow"/>
      <family val="2"/>
    </font>
    <font>
      <b/>
      <i/>
      <sz val="16"/>
      <name val="Arial Narrow"/>
      <family val="2"/>
    </font>
    <font>
      <b/>
      <u/>
      <sz val="16"/>
      <color rgb="FF0000FF"/>
      <name val="Arial Narrow"/>
      <family val="2"/>
    </font>
    <font>
      <u/>
      <sz val="16"/>
      <name val="Arial Narrow"/>
      <family val="2"/>
    </font>
    <font>
      <i/>
      <sz val="16"/>
      <color rgb="FFFF0000"/>
      <name val="Arial Narrow"/>
      <family val="2"/>
    </font>
    <font>
      <sz val="14"/>
      <color indexed="8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60">
    <xf numFmtId="0" fontId="0" fillId="0" borderId="0" xfId="0"/>
    <xf numFmtId="0" fontId="3" fillId="0" borderId="0" xfId="1" applyFont="1" applyAlignment="1">
      <alignment horizontal="center" vertical="center"/>
    </xf>
    <xf numFmtId="165" fontId="3" fillId="0" borderId="0" xfId="1" applyNumberFormat="1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21" fontId="2" fillId="0" borderId="0" xfId="0" applyNumberFormat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165" fontId="3" fillId="0" borderId="1" xfId="1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165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0" fontId="2" fillId="0" borderId="0" xfId="1" applyAlignment="1">
      <alignment horizontal="left" vertical="center"/>
    </xf>
    <xf numFmtId="0" fontId="4" fillId="0" borderId="0" xfId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1" applyAlignment="1">
      <alignment horizontal="right" vertical="center"/>
    </xf>
    <xf numFmtId="166" fontId="2" fillId="0" borderId="0" xfId="0" applyNumberFormat="1" applyFont="1" applyAlignment="1">
      <alignment horizontal="right" vertical="center"/>
    </xf>
    <xf numFmtId="166" fontId="2" fillId="0" borderId="0" xfId="1" applyNumberFormat="1" applyAlignment="1">
      <alignment horizontal="right" vertical="center"/>
    </xf>
    <xf numFmtId="0" fontId="6" fillId="0" borderId="0" xfId="0" applyFont="1"/>
    <xf numFmtId="0" fontId="7" fillId="0" borderId="0" xfId="0" applyFont="1"/>
    <xf numFmtId="0" fontId="5" fillId="0" borderId="0" xfId="0" applyFont="1"/>
    <xf numFmtId="0" fontId="10" fillId="2" borderId="0" xfId="1" applyFont="1" applyFill="1" applyAlignment="1">
      <alignment vertical="center"/>
    </xf>
    <xf numFmtId="166" fontId="11" fillId="0" borderId="0" xfId="1" applyNumberFormat="1" applyFont="1" applyAlignment="1">
      <alignment horizontal="center" vertical="center"/>
    </xf>
    <xf numFmtId="164" fontId="11" fillId="0" borderId="0" xfId="1" applyNumberFormat="1" applyFont="1" applyAlignment="1">
      <alignment horizontal="center" vertical="center"/>
    </xf>
    <xf numFmtId="0" fontId="10" fillId="0" borderId="0" xfId="1" applyFont="1" applyAlignment="1">
      <alignment vertical="center"/>
    </xf>
    <xf numFmtId="0" fontId="11" fillId="0" borderId="0" xfId="1" applyFont="1" applyAlignment="1">
      <alignment vertical="center"/>
    </xf>
    <xf numFmtId="167" fontId="11" fillId="0" borderId="0" xfId="1" applyNumberFormat="1" applyFont="1" applyAlignment="1">
      <alignment vertical="center"/>
    </xf>
    <xf numFmtId="168" fontId="11" fillId="0" borderId="0" xfId="1" applyNumberFormat="1" applyFont="1" applyAlignment="1">
      <alignment vertical="center"/>
    </xf>
    <xf numFmtId="169" fontId="11" fillId="0" borderId="0" xfId="1" applyNumberFormat="1" applyFont="1" applyAlignment="1">
      <alignment vertical="center"/>
    </xf>
    <xf numFmtId="170" fontId="11" fillId="0" borderId="0" xfId="1" applyNumberFormat="1" applyFont="1" applyAlignment="1">
      <alignment vertical="center"/>
    </xf>
    <xf numFmtId="170" fontId="10" fillId="0" borderId="0" xfId="1" applyNumberFormat="1" applyFont="1" applyAlignment="1">
      <alignment horizontal="center" vertical="center"/>
    </xf>
    <xf numFmtId="170" fontId="10" fillId="0" borderId="0" xfId="1" applyNumberFormat="1" applyFont="1" applyAlignment="1">
      <alignment vertical="center"/>
    </xf>
    <xf numFmtId="167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 vertical="center"/>
    </xf>
    <xf numFmtId="165" fontId="11" fillId="0" borderId="0" xfId="1" applyNumberFormat="1" applyFont="1" applyAlignment="1">
      <alignment horizontal="right" vertical="center"/>
    </xf>
    <xf numFmtId="0" fontId="10" fillId="0" borderId="0" xfId="1" applyFont="1" applyAlignment="1">
      <alignment horizontal="center" vertical="center"/>
    </xf>
    <xf numFmtId="165" fontId="14" fillId="0" borderId="0" xfId="1" applyNumberFormat="1" applyFont="1" applyAlignment="1">
      <alignment horizontal="center" vertical="center"/>
    </xf>
    <xf numFmtId="165" fontId="11" fillId="0" borderId="0" xfId="1" applyNumberFormat="1" applyFont="1" applyAlignment="1">
      <alignment horizontal="center" vertical="center"/>
    </xf>
    <xf numFmtId="0" fontId="11" fillId="0" borderId="2" xfId="1" applyFont="1" applyBorder="1" applyAlignment="1">
      <alignment horizontal="center" vertical="center"/>
    </xf>
    <xf numFmtId="0" fontId="15" fillId="0" borderId="0" xfId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164" fontId="15" fillId="0" borderId="0" xfId="1" applyNumberFormat="1" applyFont="1" applyAlignment="1">
      <alignment horizontal="center" vertical="center"/>
    </xf>
    <xf numFmtId="0" fontId="11" fillId="0" borderId="0" xfId="1" applyFont="1"/>
    <xf numFmtId="166" fontId="11" fillId="0" borderId="0" xfId="1" applyNumberFormat="1" applyFont="1" applyAlignment="1">
      <alignment vertical="center"/>
    </xf>
    <xf numFmtId="164" fontId="11" fillId="0" borderId="0" xfId="1" applyNumberFormat="1" applyFont="1" applyAlignment="1">
      <alignment vertical="center"/>
    </xf>
    <xf numFmtId="171" fontId="11" fillId="0" borderId="0" xfId="1" applyNumberFormat="1" applyFont="1" applyAlignment="1">
      <alignment horizontal="center" vertical="center"/>
    </xf>
    <xf numFmtId="168" fontId="11" fillId="0" borderId="0" xfId="1" applyNumberFormat="1" applyFont="1" applyAlignment="1">
      <alignment horizontal="center" vertical="center"/>
    </xf>
    <xf numFmtId="169" fontId="11" fillId="0" borderId="0" xfId="1" applyNumberFormat="1" applyFont="1" applyAlignment="1">
      <alignment horizontal="center" vertical="center"/>
    </xf>
    <xf numFmtId="0" fontId="11" fillId="0" borderId="2" xfId="1" applyFont="1" applyBorder="1"/>
    <xf numFmtId="164" fontId="11" fillId="0" borderId="2" xfId="1" applyNumberFormat="1" applyFont="1" applyBorder="1" applyAlignment="1">
      <alignment horizontal="center" vertical="center"/>
    </xf>
    <xf numFmtId="165" fontId="11" fillId="0" borderId="2" xfId="1" applyNumberFormat="1" applyFont="1" applyBorder="1" applyAlignment="1">
      <alignment horizontal="center" vertical="center"/>
    </xf>
    <xf numFmtId="0" fontId="11" fillId="0" borderId="4" xfId="1" applyFont="1" applyBorder="1" applyAlignment="1">
      <alignment horizontal="center" vertical="center"/>
    </xf>
    <xf numFmtId="165" fontId="16" fillId="0" borderId="0" xfId="1" applyNumberFormat="1" applyFont="1" applyAlignment="1">
      <alignment horizontal="center" vertical="center"/>
    </xf>
    <xf numFmtId="172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67" fontId="12" fillId="0" borderId="2" xfId="1" applyNumberFormat="1" applyFont="1" applyBorder="1" applyAlignment="1">
      <alignment vertical="center"/>
    </xf>
    <xf numFmtId="168" fontId="12" fillId="0" borderId="2" xfId="1" applyNumberFormat="1" applyFont="1" applyBorder="1" applyAlignment="1">
      <alignment vertical="center"/>
    </xf>
    <xf numFmtId="169" fontId="12" fillId="0" borderId="3" xfId="1" applyNumberFormat="1" applyFont="1" applyBorder="1" applyAlignment="1">
      <alignment vertical="center"/>
    </xf>
    <xf numFmtId="170" fontId="11" fillId="3" borderId="2" xfId="1" applyNumberFormat="1" applyFont="1" applyFill="1" applyBorder="1" applyAlignment="1">
      <alignment vertical="center"/>
    </xf>
    <xf numFmtId="167" fontId="11" fillId="0" borderId="2" xfId="1" applyNumberFormat="1" applyFont="1" applyBorder="1" applyAlignment="1">
      <alignment horizontal="center" vertical="center"/>
    </xf>
    <xf numFmtId="168" fontId="11" fillId="0" borderId="2" xfId="1" applyNumberFormat="1" applyFont="1" applyBorder="1" applyAlignment="1">
      <alignment horizontal="center" vertical="center"/>
    </xf>
    <xf numFmtId="169" fontId="11" fillId="0" borderId="2" xfId="1" applyNumberFormat="1" applyFont="1" applyBorder="1" applyAlignment="1">
      <alignment horizontal="center" vertical="center"/>
    </xf>
    <xf numFmtId="169" fontId="11" fillId="0" borderId="5" xfId="1" applyNumberFormat="1" applyFont="1" applyBorder="1" applyAlignment="1">
      <alignment horizontal="center" vertical="center"/>
    </xf>
    <xf numFmtId="167" fontId="11" fillId="0" borderId="5" xfId="1" applyNumberFormat="1" applyFont="1" applyBorder="1" applyAlignment="1">
      <alignment horizontal="center" vertical="center"/>
    </xf>
    <xf numFmtId="168" fontId="11" fillId="0" borderId="5" xfId="1" applyNumberFormat="1" applyFont="1" applyBorder="1" applyAlignment="1">
      <alignment horizontal="center" vertical="center"/>
    </xf>
    <xf numFmtId="169" fontId="11" fillId="0" borderId="6" xfId="1" applyNumberFormat="1" applyFont="1" applyBorder="1" applyAlignment="1">
      <alignment horizontal="center" vertical="center"/>
    </xf>
    <xf numFmtId="169" fontId="11" fillId="0" borderId="7" xfId="1" applyNumberFormat="1" applyFont="1" applyBorder="1" applyAlignment="1">
      <alignment horizontal="center" vertical="center"/>
    </xf>
    <xf numFmtId="0" fontId="11" fillId="0" borderId="7" xfId="1" applyFont="1" applyBorder="1" applyAlignment="1">
      <alignment horizontal="center" vertical="center"/>
    </xf>
    <xf numFmtId="165" fontId="17" fillId="0" borderId="2" xfId="1" applyNumberFormat="1" applyFont="1" applyBorder="1" applyAlignment="1">
      <alignment horizontal="center" vertical="center"/>
    </xf>
    <xf numFmtId="164" fontId="17" fillId="0" borderId="2" xfId="1" applyNumberFormat="1" applyFont="1" applyBorder="1" applyAlignment="1">
      <alignment horizontal="center" vertical="center"/>
    </xf>
    <xf numFmtId="167" fontId="18" fillId="0" borderId="0" xfId="1" applyNumberFormat="1" applyFont="1" applyAlignment="1">
      <alignment horizontal="center" vertical="center"/>
    </xf>
    <xf numFmtId="168" fontId="18" fillId="0" borderId="0" xfId="1" applyNumberFormat="1" applyFont="1" applyAlignment="1">
      <alignment horizontal="center" vertical="center"/>
    </xf>
    <xf numFmtId="169" fontId="18" fillId="0" borderId="0" xfId="1" applyNumberFormat="1" applyFont="1" applyAlignment="1">
      <alignment horizontal="center" vertical="center"/>
    </xf>
    <xf numFmtId="170" fontId="15" fillId="0" borderId="8" xfId="1" applyNumberFormat="1" applyFont="1" applyBorder="1" applyAlignment="1">
      <alignment vertical="center"/>
    </xf>
    <xf numFmtId="1" fontId="15" fillId="0" borderId="5" xfId="1" applyNumberFormat="1" applyFont="1" applyBorder="1" applyAlignment="1">
      <alignment horizontal="center" vertical="center"/>
    </xf>
    <xf numFmtId="0" fontId="15" fillId="0" borderId="5" xfId="1" applyFont="1" applyBorder="1" applyAlignment="1">
      <alignment horizontal="center" vertical="center"/>
    </xf>
    <xf numFmtId="2" fontId="15" fillId="0" borderId="6" xfId="1" applyNumberFormat="1" applyFont="1" applyBorder="1" applyAlignment="1">
      <alignment horizontal="center" vertical="center"/>
    </xf>
    <xf numFmtId="169" fontId="11" fillId="0" borderId="9" xfId="1" applyNumberFormat="1" applyFont="1" applyBorder="1" applyAlignment="1">
      <alignment horizontal="center" vertical="center"/>
    </xf>
    <xf numFmtId="167" fontId="11" fillId="0" borderId="9" xfId="1" applyNumberFormat="1" applyFont="1" applyBorder="1" applyAlignment="1">
      <alignment horizontal="center" vertical="center"/>
    </xf>
    <xf numFmtId="168" fontId="11" fillId="0" borderId="9" xfId="1" applyNumberFormat="1" applyFont="1" applyBorder="1" applyAlignment="1">
      <alignment horizontal="center" vertical="center"/>
    </xf>
    <xf numFmtId="169" fontId="11" fillId="0" borderId="10" xfId="1" applyNumberFormat="1" applyFont="1" applyBorder="1" applyAlignment="1">
      <alignment horizontal="center" vertical="center"/>
    </xf>
    <xf numFmtId="167" fontId="12" fillId="0" borderId="0" xfId="1" applyNumberFormat="1" applyFont="1" applyAlignment="1">
      <alignment vertical="center"/>
    </xf>
    <xf numFmtId="168" fontId="12" fillId="0" borderId="0" xfId="1" applyNumberFormat="1" applyFont="1" applyAlignment="1">
      <alignment vertical="center"/>
    </xf>
    <xf numFmtId="169" fontId="12" fillId="0" borderId="0" xfId="1" applyNumberFormat="1" applyFont="1" applyAlignment="1">
      <alignment vertical="center"/>
    </xf>
    <xf numFmtId="170" fontId="15" fillId="0" borderId="11" xfId="1" applyNumberFormat="1" applyFont="1" applyBorder="1" applyAlignment="1">
      <alignment vertical="center"/>
    </xf>
    <xf numFmtId="1" fontId="15" fillId="0" borderId="0" xfId="1" applyNumberFormat="1" applyFont="1" applyAlignment="1">
      <alignment horizontal="center" vertical="center"/>
    </xf>
    <xf numFmtId="2" fontId="15" fillId="0" borderId="7" xfId="1" applyNumberFormat="1" applyFont="1" applyBorder="1" applyAlignment="1">
      <alignment horizontal="center" vertical="center"/>
    </xf>
    <xf numFmtId="0" fontId="15" fillId="0" borderId="11" xfId="1" applyFont="1" applyBorder="1" applyAlignment="1">
      <alignment vertical="center"/>
    </xf>
    <xf numFmtId="170" fontId="15" fillId="0" borderId="12" xfId="1" applyNumberFormat="1" applyFont="1" applyBorder="1" applyAlignment="1">
      <alignment vertical="center"/>
    </xf>
    <xf numFmtId="1" fontId="15" fillId="0" borderId="9" xfId="1" applyNumberFormat="1" applyFont="1" applyBorder="1" applyAlignment="1">
      <alignment horizontal="center" vertical="center"/>
    </xf>
    <xf numFmtId="0" fontId="15" fillId="0" borderId="9" xfId="1" applyFont="1" applyBorder="1" applyAlignment="1">
      <alignment horizontal="center" vertical="center"/>
    </xf>
    <xf numFmtId="2" fontId="15" fillId="0" borderId="10" xfId="1" applyNumberFormat="1" applyFont="1" applyBorder="1" applyAlignment="1">
      <alignment horizontal="center" vertical="center"/>
    </xf>
    <xf numFmtId="0" fontId="13" fillId="0" borderId="2" xfId="1" applyFont="1" applyBorder="1"/>
    <xf numFmtId="0" fontId="10" fillId="0" borderId="2" xfId="1" applyFont="1" applyBorder="1" applyAlignment="1">
      <alignment horizontal="center" vertical="center"/>
    </xf>
    <xf numFmtId="0" fontId="13" fillId="0" borderId="2" xfId="1" applyFont="1" applyBorder="1" applyAlignment="1">
      <alignment horizontal="center" vertical="center"/>
    </xf>
    <xf numFmtId="0" fontId="19" fillId="0" borderId="0" xfId="0" applyFont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15" fillId="0" borderId="0" xfId="1" applyFont="1"/>
    <xf numFmtId="0" fontId="17" fillId="0" borderId="2" xfId="1" applyFont="1" applyBorder="1" applyAlignment="1">
      <alignment horizontal="center" vertical="center"/>
    </xf>
    <xf numFmtId="0" fontId="28" fillId="0" borderId="0" xfId="2" applyFont="1" applyAlignment="1">
      <alignment horizontal="center" vertical="center"/>
    </xf>
    <xf numFmtId="164" fontId="28" fillId="0" borderId="0" xfId="2" applyNumberFormat="1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2" fillId="0" borderId="0" xfId="2" applyFont="1" applyAlignment="1">
      <alignment horizontal="left" vertical="center"/>
    </xf>
    <xf numFmtId="0" fontId="26" fillId="0" borderId="0" xfId="2" applyFont="1" applyAlignment="1">
      <alignment horizontal="left" vertical="center"/>
    </xf>
    <xf numFmtId="164" fontId="28" fillId="0" borderId="0" xfId="2" applyNumberFormat="1" applyFont="1" applyAlignment="1">
      <alignment horizontal="left" vertical="center"/>
    </xf>
    <xf numFmtId="0" fontId="26" fillId="0" borderId="0" xfId="2" applyFont="1" applyAlignment="1">
      <alignment horizontal="right" vertical="center"/>
    </xf>
    <xf numFmtId="173" fontId="22" fillId="0" borderId="9" xfId="2" applyNumberFormat="1" applyFont="1" applyBorder="1" applyAlignment="1">
      <alignment horizontal="left" vertical="center"/>
    </xf>
    <xf numFmtId="0" fontId="22" fillId="0" borderId="0" xfId="2" applyFont="1" applyAlignment="1">
      <alignment vertical="center"/>
    </xf>
    <xf numFmtId="0" fontId="26" fillId="0" borderId="0" xfId="2" applyFont="1" applyAlignment="1">
      <alignment vertical="center"/>
    </xf>
    <xf numFmtId="0" fontId="22" fillId="0" borderId="13" xfId="2" applyFont="1" applyBorder="1" applyAlignment="1">
      <alignment horizontal="left" vertical="center"/>
    </xf>
    <xf numFmtId="0" fontId="22" fillId="0" borderId="14" xfId="2" applyFont="1" applyBorder="1" applyAlignment="1">
      <alignment horizontal="center" vertical="center"/>
    </xf>
    <xf numFmtId="0" fontId="22" fillId="0" borderId="15" xfId="2" applyFont="1" applyBorder="1" applyAlignment="1">
      <alignment horizontal="center" vertical="center"/>
    </xf>
    <xf numFmtId="164" fontId="22" fillId="0" borderId="15" xfId="2" applyNumberFormat="1" applyFont="1" applyBorder="1" applyAlignment="1">
      <alignment horizontal="center" vertical="center"/>
    </xf>
    <xf numFmtId="0" fontId="26" fillId="0" borderId="15" xfId="2" applyFont="1" applyBorder="1" applyAlignment="1">
      <alignment horizontal="right" vertical="center"/>
    </xf>
    <xf numFmtId="164" fontId="22" fillId="0" borderId="16" xfId="2" applyNumberFormat="1" applyFont="1" applyBorder="1" applyAlignment="1">
      <alignment horizontal="center" vertical="center"/>
    </xf>
    <xf numFmtId="164" fontId="22" fillId="0" borderId="0" xfId="2" applyNumberFormat="1" applyFont="1" applyAlignment="1">
      <alignment horizontal="center" vertical="center"/>
    </xf>
    <xf numFmtId="164" fontId="22" fillId="0" borderId="18" xfId="2" applyNumberFormat="1" applyFont="1" applyBorder="1" applyAlignment="1">
      <alignment horizontal="center" vertical="center"/>
    </xf>
    <xf numFmtId="0" fontId="22" fillId="0" borderId="17" xfId="2" applyFont="1" applyBorder="1" applyAlignment="1">
      <alignment horizontal="center" vertical="center"/>
    </xf>
    <xf numFmtId="0" fontId="22" fillId="0" borderId="19" xfId="2" applyFont="1" applyBorder="1" applyAlignment="1">
      <alignment horizontal="center" vertical="center"/>
    </xf>
    <xf numFmtId="0" fontId="22" fillId="0" borderId="21" xfId="2" applyFont="1" applyBorder="1" applyAlignment="1">
      <alignment horizontal="center" vertical="center"/>
    </xf>
    <xf numFmtId="0" fontId="26" fillId="0" borderId="23" xfId="2" applyFont="1" applyBorder="1" applyAlignment="1">
      <alignment horizontal="center" vertical="center"/>
    </xf>
    <xf numFmtId="0" fontId="26" fillId="0" borderId="31" xfId="2" applyFont="1" applyBorder="1" applyAlignment="1">
      <alignment horizontal="center" vertical="center"/>
    </xf>
    <xf numFmtId="0" fontId="26" fillId="0" borderId="29" xfId="2" applyFont="1" applyBorder="1" applyAlignment="1">
      <alignment horizontal="center" vertical="center"/>
    </xf>
    <xf numFmtId="0" fontId="26" fillId="0" borderId="30" xfId="2" applyFont="1" applyBorder="1" applyAlignment="1">
      <alignment horizontal="center" vertical="center"/>
    </xf>
    <xf numFmtId="0" fontId="26" fillId="0" borderId="32" xfId="2" applyFont="1" applyBorder="1" applyAlignment="1">
      <alignment horizontal="center" vertical="center"/>
    </xf>
    <xf numFmtId="0" fontId="22" fillId="0" borderId="34" xfId="2" applyFont="1" applyBorder="1" applyAlignment="1">
      <alignment horizontal="center" vertical="center"/>
    </xf>
    <xf numFmtId="0" fontId="22" fillId="0" borderId="35" xfId="2" applyFont="1" applyBorder="1" applyAlignment="1">
      <alignment horizontal="center" vertical="center"/>
    </xf>
    <xf numFmtId="164" fontId="22" fillId="0" borderId="36" xfId="2" applyNumberFormat="1" applyFont="1" applyBorder="1" applyAlignment="1">
      <alignment horizontal="center" vertical="center"/>
    </xf>
    <xf numFmtId="164" fontId="22" fillId="0" borderId="37" xfId="2" applyNumberFormat="1" applyFont="1" applyBorder="1" applyAlignment="1">
      <alignment horizontal="center" vertical="center"/>
    </xf>
    <xf numFmtId="0" fontId="22" fillId="0" borderId="38" xfId="2" applyFont="1" applyBorder="1" applyAlignment="1">
      <alignment horizontal="center" vertical="center"/>
    </xf>
    <xf numFmtId="0" fontId="22" fillId="0" borderId="28" xfId="2" applyFont="1" applyBorder="1" applyAlignment="1">
      <alignment horizontal="center" vertical="center"/>
    </xf>
    <xf numFmtId="0" fontId="22" fillId="0" borderId="29" xfId="2" applyFont="1" applyBorder="1" applyAlignment="1">
      <alignment horizontal="center" vertical="center"/>
    </xf>
    <xf numFmtId="164" fontId="22" fillId="0" borderId="30" xfId="2" applyNumberFormat="1" applyFont="1" applyBorder="1" applyAlignment="1">
      <alignment horizontal="center" vertical="center"/>
    </xf>
    <xf numFmtId="164" fontId="22" fillId="0" borderId="32" xfId="2" applyNumberFormat="1" applyFont="1" applyBorder="1" applyAlignment="1">
      <alignment horizontal="center" vertical="center"/>
    </xf>
    <xf numFmtId="0" fontId="22" fillId="0" borderId="33" xfId="2" applyFont="1" applyBorder="1" applyAlignment="1">
      <alignment horizontal="center" vertical="center"/>
    </xf>
    <xf numFmtId="0" fontId="26" fillId="0" borderId="14" xfId="2" applyFont="1" applyBorder="1" applyAlignment="1">
      <alignment horizontal="left" vertical="center"/>
    </xf>
    <xf numFmtId="166" fontId="22" fillId="0" borderId="15" xfId="2" applyNumberFormat="1" applyFont="1" applyBorder="1" applyAlignment="1">
      <alignment horizontal="center" vertical="center"/>
    </xf>
    <xf numFmtId="2" fontId="22" fillId="0" borderId="15" xfId="2" applyNumberFormat="1" applyFont="1" applyBorder="1" applyAlignment="1">
      <alignment horizontal="center" vertical="center"/>
    </xf>
    <xf numFmtId="1" fontId="22" fillId="0" borderId="15" xfId="2" applyNumberFormat="1" applyFont="1" applyBorder="1" applyAlignment="1">
      <alignment horizontal="center" vertical="center"/>
    </xf>
    <xf numFmtId="177" fontId="22" fillId="0" borderId="15" xfId="2" applyNumberFormat="1" applyFont="1" applyBorder="1" applyAlignment="1">
      <alignment horizontal="center" vertical="center"/>
    </xf>
    <xf numFmtId="0" fontId="22" fillId="0" borderId="17" xfId="2" applyFont="1" applyBorder="1" applyAlignment="1">
      <alignment vertical="center"/>
    </xf>
    <xf numFmtId="0" fontId="22" fillId="0" borderId="19" xfId="2" applyFont="1" applyBorder="1" applyAlignment="1">
      <alignment vertical="center"/>
    </xf>
    <xf numFmtId="0" fontId="22" fillId="0" borderId="20" xfId="2" applyFont="1" applyBorder="1" applyAlignment="1">
      <alignment vertical="center"/>
    </xf>
    <xf numFmtId="0" fontId="22" fillId="0" borderId="20" xfId="2" applyFont="1" applyBorder="1" applyAlignment="1">
      <alignment horizontal="center" vertical="center"/>
    </xf>
    <xf numFmtId="178" fontId="22" fillId="0" borderId="21" xfId="2" applyNumberFormat="1" applyFont="1" applyBorder="1" applyAlignment="1">
      <alignment horizontal="center" vertical="center"/>
    </xf>
    <xf numFmtId="0" fontId="22" fillId="0" borderId="0" xfId="2" applyFont="1" applyAlignment="1">
      <alignment horizontal="right" vertical="center"/>
    </xf>
    <xf numFmtId="0" fontId="22" fillId="0" borderId="9" xfId="2" applyFont="1" applyBorder="1" applyAlignment="1">
      <alignment vertical="center"/>
    </xf>
    <xf numFmtId="0" fontId="22" fillId="0" borderId="9" xfId="2" applyFont="1" applyBorder="1" applyAlignment="1">
      <alignment horizontal="right" vertical="center"/>
    </xf>
    <xf numFmtId="0" fontId="34" fillId="0" borderId="0" xfId="2" applyFont="1" applyAlignment="1">
      <alignment horizontal="right" vertical="center"/>
    </xf>
    <xf numFmtId="0" fontId="35" fillId="0" borderId="0" xfId="2" applyFont="1" applyAlignment="1">
      <alignment horizontal="right" vertical="center"/>
    </xf>
    <xf numFmtId="0" fontId="22" fillId="0" borderId="9" xfId="2" applyFont="1" applyBorder="1" applyAlignment="1">
      <alignment horizontal="center" vertical="center"/>
    </xf>
    <xf numFmtId="0" fontId="33" fillId="0" borderId="0" xfId="2" quotePrefix="1" applyFont="1" applyAlignment="1">
      <alignment vertical="center"/>
    </xf>
    <xf numFmtId="0" fontId="33" fillId="0" borderId="0" xfId="2" applyFont="1" applyAlignment="1">
      <alignment vertical="center"/>
    </xf>
    <xf numFmtId="164" fontId="23" fillId="0" borderId="0" xfId="2" applyNumberFormat="1" applyFont="1" applyAlignment="1">
      <alignment horizontal="center" vertical="center"/>
    </xf>
    <xf numFmtId="0" fontId="22" fillId="0" borderId="2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64" fontId="24" fillId="0" borderId="0" xfId="2" applyNumberFormat="1" applyFont="1" applyAlignment="1">
      <alignment horizontal="center" vertical="center"/>
    </xf>
    <xf numFmtId="164" fontId="25" fillId="0" borderId="0" xfId="2" applyNumberFormat="1" applyFont="1" applyAlignment="1">
      <alignment horizontal="center" vertical="center"/>
    </xf>
    <xf numFmtId="0" fontId="24" fillId="0" borderId="9" xfId="2" applyFont="1" applyBorder="1" applyAlignment="1">
      <alignment horizontal="left" vertical="center"/>
    </xf>
    <xf numFmtId="164" fontId="24" fillId="0" borderId="9" xfId="2" applyNumberFormat="1" applyFont="1" applyBorder="1" applyAlignment="1">
      <alignment horizontal="center" vertical="center"/>
    </xf>
    <xf numFmtId="164" fontId="25" fillId="0" borderId="9" xfId="2" applyNumberFormat="1" applyFont="1" applyBorder="1" applyAlignment="1">
      <alignment horizontal="center" vertical="center"/>
    </xf>
    <xf numFmtId="164" fontId="23" fillId="0" borderId="2" xfId="2" applyNumberFormat="1" applyFont="1" applyBorder="1" applyAlignment="1">
      <alignment horizontal="center" vertical="center"/>
    </xf>
    <xf numFmtId="2" fontId="26" fillId="0" borderId="2" xfId="2" applyNumberFormat="1" applyFont="1" applyBorder="1" applyAlignment="1">
      <alignment horizontal="center" vertical="center"/>
    </xf>
    <xf numFmtId="164" fontId="22" fillId="0" borderId="2" xfId="2" applyNumberFormat="1" applyFont="1" applyBorder="1" applyAlignment="1">
      <alignment horizontal="center" vertical="center"/>
    </xf>
    <xf numFmtId="0" fontId="22" fillId="0" borderId="39" xfId="2" applyFont="1" applyBorder="1" applyAlignment="1">
      <alignment horizontal="center" vertical="center"/>
    </xf>
    <xf numFmtId="164" fontId="22" fillId="0" borderId="39" xfId="2" applyNumberFormat="1" applyFont="1" applyBorder="1" applyAlignment="1">
      <alignment horizontal="center" vertical="center"/>
    </xf>
    <xf numFmtId="164" fontId="23" fillId="0" borderId="39" xfId="2" applyNumberFormat="1" applyFont="1" applyBorder="1" applyAlignment="1">
      <alignment horizontal="center" vertical="center"/>
    </xf>
    <xf numFmtId="0" fontId="22" fillId="0" borderId="40" xfId="2" applyFont="1" applyBorder="1" applyAlignment="1">
      <alignment horizontal="center" vertical="center"/>
    </xf>
    <xf numFmtId="164" fontId="22" fillId="0" borderId="40" xfId="2" applyNumberFormat="1" applyFont="1" applyBorder="1" applyAlignment="1">
      <alignment horizontal="center" vertical="center"/>
    </xf>
    <xf numFmtId="164" fontId="23" fillId="0" borderId="40" xfId="2" applyNumberFormat="1" applyFont="1" applyBorder="1" applyAlignment="1">
      <alignment horizontal="center" vertical="center"/>
    </xf>
    <xf numFmtId="0" fontId="21" fillId="0" borderId="0" xfId="2" applyFont="1" applyAlignment="1">
      <alignment horizontal="left" vertical="center"/>
    </xf>
    <xf numFmtId="0" fontId="24" fillId="0" borderId="0" xfId="2" applyFont="1" applyAlignment="1">
      <alignment horizontal="left" vertical="center"/>
    </xf>
    <xf numFmtId="164" fontId="26" fillId="0" borderId="39" xfId="2" applyNumberFormat="1" applyFont="1" applyBorder="1" applyAlignment="1">
      <alignment horizontal="center" vertical="center"/>
    </xf>
    <xf numFmtId="0" fontId="28" fillId="0" borderId="15" xfId="2" applyFont="1" applyBorder="1" applyAlignment="1">
      <alignment horizontal="center" vertical="center"/>
    </xf>
    <xf numFmtId="0" fontId="22" fillId="0" borderId="15" xfId="2" applyFont="1" applyBorder="1" applyAlignment="1">
      <alignment vertical="center"/>
    </xf>
    <xf numFmtId="164" fontId="36" fillId="0" borderId="15" xfId="2" applyNumberFormat="1" applyFont="1" applyBorder="1" applyAlignment="1">
      <alignment horizontal="right" vertical="center"/>
    </xf>
    <xf numFmtId="0" fontId="33" fillId="0" borderId="15" xfId="2" applyFont="1" applyBorder="1" applyAlignment="1">
      <alignment vertical="center"/>
    </xf>
    <xf numFmtId="0" fontId="22" fillId="0" borderId="15" xfId="2" applyFont="1" applyBorder="1" applyAlignment="1">
      <alignment horizontal="right" vertical="center"/>
    </xf>
    <xf numFmtId="0" fontId="22" fillId="0" borderId="16" xfId="2" applyFont="1" applyBorder="1" applyAlignment="1">
      <alignment horizontal="center" vertical="center"/>
    </xf>
    <xf numFmtId="0" fontId="28" fillId="0" borderId="17" xfId="2" applyFont="1" applyBorder="1" applyAlignment="1">
      <alignment horizontal="center" vertical="center"/>
    </xf>
    <xf numFmtId="0" fontId="22" fillId="0" borderId="18" xfId="2" applyFont="1" applyBorder="1" applyAlignment="1">
      <alignment horizontal="center" vertical="center"/>
    </xf>
    <xf numFmtId="0" fontId="28" fillId="0" borderId="19" xfId="2" applyFont="1" applyBorder="1" applyAlignment="1">
      <alignment horizontal="center" vertical="center"/>
    </xf>
    <xf numFmtId="0" fontId="28" fillId="0" borderId="20" xfId="2" applyFont="1" applyBorder="1" applyAlignment="1">
      <alignment horizontal="center" vertical="center"/>
    </xf>
    <xf numFmtId="0" fontId="34" fillId="0" borderId="14" xfId="2" applyFont="1" applyBorder="1" applyAlignment="1">
      <alignment horizontal="left" vertical="center"/>
    </xf>
    <xf numFmtId="0" fontId="26" fillId="0" borderId="2" xfId="2" applyFont="1" applyBorder="1" applyAlignment="1">
      <alignment horizontal="center" vertical="center"/>
    </xf>
    <xf numFmtId="0" fontId="37" fillId="0" borderId="9" xfId="2" applyFont="1" applyBorder="1" applyAlignment="1">
      <alignment horizontal="left" vertical="center"/>
    </xf>
    <xf numFmtId="164" fontId="26" fillId="0" borderId="2" xfId="2" applyNumberFormat="1" applyFont="1" applyBorder="1" applyAlignment="1">
      <alignment horizontal="center" vertical="center"/>
    </xf>
    <xf numFmtId="164" fontId="22" fillId="0" borderId="0" xfId="2" applyNumberFormat="1" applyFont="1" applyAlignment="1">
      <alignment vertical="center"/>
    </xf>
    <xf numFmtId="164" fontId="26" fillId="0" borderId="40" xfId="2" applyNumberFormat="1" applyFont="1" applyBorder="1" applyAlignment="1">
      <alignment horizontal="center" vertical="center"/>
    </xf>
    <xf numFmtId="167" fontId="22" fillId="0" borderId="0" xfId="2" applyNumberFormat="1" applyFont="1" applyAlignment="1">
      <alignment horizontal="center" vertical="center"/>
    </xf>
    <xf numFmtId="167" fontId="22" fillId="0" borderId="0" xfId="2" applyNumberFormat="1" applyFont="1" applyAlignment="1">
      <alignment vertical="center"/>
    </xf>
    <xf numFmtId="167" fontId="24" fillId="0" borderId="0" xfId="2" applyNumberFormat="1" applyFont="1" applyAlignment="1">
      <alignment horizontal="center" vertical="center"/>
    </xf>
    <xf numFmtId="167" fontId="24" fillId="0" borderId="9" xfId="2" applyNumberFormat="1" applyFont="1" applyBorder="1" applyAlignment="1">
      <alignment horizontal="center" vertical="center"/>
    </xf>
    <xf numFmtId="167" fontId="26" fillId="0" borderId="2" xfId="2" applyNumberFormat="1" applyFont="1" applyBorder="1" applyAlignment="1">
      <alignment horizontal="center" vertical="center"/>
    </xf>
    <xf numFmtId="167" fontId="22" fillId="0" borderId="2" xfId="2" applyNumberFormat="1" applyFont="1" applyBorder="1" applyAlignment="1">
      <alignment horizontal="center" vertical="center"/>
    </xf>
    <xf numFmtId="167" fontId="22" fillId="0" borderId="39" xfId="2" applyNumberFormat="1" applyFont="1" applyBorder="1" applyAlignment="1">
      <alignment horizontal="center" vertical="center"/>
    </xf>
    <xf numFmtId="167" fontId="22" fillId="0" borderId="40" xfId="2" applyNumberFormat="1" applyFont="1" applyBorder="1" applyAlignment="1">
      <alignment horizontal="center" vertical="center"/>
    </xf>
    <xf numFmtId="168" fontId="22" fillId="0" borderId="0" xfId="2" applyNumberFormat="1" applyFont="1" applyAlignment="1">
      <alignment horizontal="center" vertical="center"/>
    </xf>
    <xf numFmtId="168" fontId="22" fillId="0" borderId="0" xfId="2" applyNumberFormat="1" applyFont="1" applyAlignment="1">
      <alignment vertical="center"/>
    </xf>
    <xf numFmtId="168" fontId="24" fillId="0" borderId="0" xfId="2" applyNumberFormat="1" applyFont="1" applyAlignment="1">
      <alignment horizontal="center" vertical="center"/>
    </xf>
    <xf numFmtId="168" fontId="24" fillId="0" borderId="9" xfId="2" applyNumberFormat="1" applyFont="1" applyBorder="1" applyAlignment="1">
      <alignment horizontal="center" vertical="center"/>
    </xf>
    <xf numFmtId="168" fontId="26" fillId="0" borderId="2" xfId="2" applyNumberFormat="1" applyFont="1" applyBorder="1" applyAlignment="1">
      <alignment horizontal="center" vertical="center"/>
    </xf>
    <xf numFmtId="168" fontId="22" fillId="0" borderId="2" xfId="2" applyNumberFormat="1" applyFont="1" applyBorder="1" applyAlignment="1">
      <alignment horizontal="center" vertical="center"/>
    </xf>
    <xf numFmtId="168" fontId="22" fillId="0" borderId="39" xfId="2" applyNumberFormat="1" applyFont="1" applyBorder="1" applyAlignment="1">
      <alignment horizontal="center" vertical="center"/>
    </xf>
    <xf numFmtId="168" fontId="22" fillId="0" borderId="40" xfId="2" applyNumberFormat="1" applyFont="1" applyBorder="1" applyAlignment="1">
      <alignment horizontal="center" vertical="center"/>
    </xf>
    <xf numFmtId="179" fontId="22" fillId="0" borderId="0" xfId="2" applyNumberFormat="1" applyFont="1" applyAlignment="1">
      <alignment horizontal="center" vertical="center"/>
    </xf>
    <xf numFmtId="179" fontId="22" fillId="0" borderId="0" xfId="2" applyNumberFormat="1" applyFont="1" applyAlignment="1">
      <alignment vertical="center"/>
    </xf>
    <xf numFmtId="179" fontId="24" fillId="0" borderId="0" xfId="2" applyNumberFormat="1" applyFont="1" applyAlignment="1">
      <alignment horizontal="center" vertical="center"/>
    </xf>
    <xf numFmtId="179" fontId="24" fillId="0" borderId="9" xfId="2" applyNumberFormat="1" applyFont="1" applyBorder="1" applyAlignment="1">
      <alignment horizontal="center" vertical="center"/>
    </xf>
    <xf numFmtId="179" fontId="26" fillId="0" borderId="2" xfId="2" applyNumberFormat="1" applyFont="1" applyBorder="1" applyAlignment="1">
      <alignment horizontal="center" vertical="center"/>
    </xf>
    <xf numFmtId="179" fontId="22" fillId="0" borderId="2" xfId="2" applyNumberFormat="1" applyFont="1" applyBorder="1" applyAlignment="1">
      <alignment horizontal="center" vertical="center"/>
    </xf>
    <xf numFmtId="179" fontId="22" fillId="0" borderId="39" xfId="2" applyNumberFormat="1" applyFont="1" applyBorder="1" applyAlignment="1">
      <alignment horizontal="center" vertical="center"/>
    </xf>
    <xf numFmtId="179" fontId="22" fillId="0" borderId="40" xfId="2" applyNumberFormat="1" applyFont="1" applyBorder="1" applyAlignment="1">
      <alignment horizontal="center" vertical="center"/>
    </xf>
    <xf numFmtId="0" fontId="22" fillId="0" borderId="2" xfId="2" applyFont="1" applyBorder="1" applyAlignment="1">
      <alignment horizontal="right" vertical="center"/>
    </xf>
    <xf numFmtId="0" fontId="22" fillId="0" borderId="5" xfId="2" applyFont="1" applyBorder="1" applyAlignment="1">
      <alignment horizontal="center" vertical="center"/>
    </xf>
    <xf numFmtId="167" fontId="22" fillId="0" borderId="36" xfId="2" applyNumberFormat="1" applyFont="1" applyBorder="1" applyAlignment="1">
      <alignment horizontal="center" vertical="center"/>
    </xf>
    <xf numFmtId="167" fontId="22" fillId="0" borderId="30" xfId="2" applyNumberFormat="1" applyFont="1" applyBorder="1" applyAlignment="1">
      <alignment horizontal="center" vertical="center"/>
    </xf>
    <xf numFmtId="168" fontId="22" fillId="0" borderId="31" xfId="2" applyNumberFormat="1" applyFont="1" applyBorder="1" applyAlignment="1">
      <alignment horizontal="center" vertical="center"/>
    </xf>
    <xf numFmtId="169" fontId="22" fillId="0" borderId="2" xfId="2" applyNumberFormat="1" applyFont="1" applyBorder="1" applyAlignment="1">
      <alignment horizontal="center" vertical="center"/>
    </xf>
    <xf numFmtId="169" fontId="22" fillId="0" borderId="31" xfId="2" applyNumberFormat="1" applyFont="1" applyBorder="1" applyAlignment="1">
      <alignment horizontal="center" vertical="center"/>
    </xf>
    <xf numFmtId="0" fontId="33" fillId="0" borderId="0" xfId="2" applyFont="1" applyAlignment="1">
      <alignment horizontal="center" vertical="center"/>
    </xf>
    <xf numFmtId="0" fontId="22" fillId="0" borderId="14" xfId="2" applyFont="1" applyBorder="1" applyAlignment="1">
      <alignment vertical="center"/>
    </xf>
    <xf numFmtId="0" fontId="22" fillId="0" borderId="16" xfId="2" applyFont="1" applyBorder="1" applyAlignment="1">
      <alignment vertical="center"/>
    </xf>
    <xf numFmtId="0" fontId="28" fillId="0" borderId="18" xfId="2" applyFont="1" applyBorder="1" applyAlignment="1">
      <alignment horizontal="center" vertical="center"/>
    </xf>
    <xf numFmtId="0" fontId="28" fillId="0" borderId="21" xfId="2" applyFont="1" applyBorder="1" applyAlignment="1">
      <alignment horizontal="center" vertical="center"/>
    </xf>
    <xf numFmtId="0" fontId="28" fillId="0" borderId="30" xfId="2" applyFont="1" applyBorder="1" applyAlignment="1">
      <alignment horizontal="center" vertical="center"/>
    </xf>
    <xf numFmtId="0" fontId="28" fillId="0" borderId="31" xfId="2" applyFont="1" applyBorder="1" applyAlignment="1">
      <alignment horizontal="center" vertical="center"/>
    </xf>
    <xf numFmtId="0" fontId="28" fillId="0" borderId="32" xfId="2" applyFont="1" applyBorder="1" applyAlignment="1">
      <alignment horizontal="center" vertical="center"/>
    </xf>
    <xf numFmtId="168" fontId="28" fillId="0" borderId="40" xfId="2" applyNumberFormat="1" applyFont="1" applyBorder="1" applyAlignment="1">
      <alignment horizontal="center" vertical="center"/>
    </xf>
    <xf numFmtId="164" fontId="28" fillId="0" borderId="40" xfId="2" applyNumberFormat="1" applyFont="1" applyBorder="1" applyAlignment="1">
      <alignment horizontal="center" vertical="center"/>
    </xf>
    <xf numFmtId="0" fontId="28" fillId="0" borderId="45" xfId="2" applyFont="1" applyBorder="1" applyAlignment="1">
      <alignment horizontal="center" vertical="center"/>
    </xf>
    <xf numFmtId="0" fontId="28" fillId="0" borderId="29" xfId="2" applyFont="1" applyBorder="1" applyAlignment="1">
      <alignment horizontal="center" vertical="center"/>
    </xf>
    <xf numFmtId="167" fontId="28" fillId="0" borderId="41" xfId="2" applyNumberFormat="1" applyFont="1" applyBorder="1" applyAlignment="1">
      <alignment horizontal="center" vertical="center"/>
    </xf>
    <xf numFmtId="169" fontId="28" fillId="0" borderId="42" xfId="2" applyNumberFormat="1" applyFont="1" applyBorder="1" applyAlignment="1">
      <alignment horizontal="center" vertical="center"/>
    </xf>
    <xf numFmtId="164" fontId="28" fillId="0" borderId="45" xfId="2" applyNumberFormat="1" applyFont="1" applyBorder="1" applyAlignment="1">
      <alignment horizontal="center" vertical="center"/>
    </xf>
    <xf numFmtId="0" fontId="28" fillId="0" borderId="46" xfId="2" applyFont="1" applyBorder="1" applyAlignment="1">
      <alignment horizontal="center" vertical="center"/>
    </xf>
    <xf numFmtId="0" fontId="28" fillId="0" borderId="33" xfId="2" applyFont="1" applyBorder="1" applyAlignment="1">
      <alignment horizontal="center" vertical="center"/>
    </xf>
    <xf numFmtId="164" fontId="28" fillId="0" borderId="41" xfId="2" applyNumberFormat="1" applyFont="1" applyBorder="1" applyAlignment="1">
      <alignment horizontal="center" vertical="center"/>
    </xf>
    <xf numFmtId="164" fontId="28" fillId="0" borderId="42" xfId="2" applyNumberFormat="1" applyFont="1" applyBorder="1" applyAlignment="1">
      <alignment horizontal="center" vertical="center"/>
    </xf>
    <xf numFmtId="0" fontId="33" fillId="0" borderId="30" xfId="2" applyFont="1" applyBorder="1" applyAlignment="1">
      <alignment horizontal="center" vertical="center"/>
    </xf>
    <xf numFmtId="0" fontId="33" fillId="0" borderId="31" xfId="2" applyFont="1" applyBorder="1" applyAlignment="1">
      <alignment horizontal="center" vertical="center"/>
    </xf>
    <xf numFmtId="0" fontId="33" fillId="0" borderId="32" xfId="2" applyFont="1" applyBorder="1" applyAlignment="1">
      <alignment horizontal="center" vertical="center"/>
    </xf>
    <xf numFmtId="0" fontId="28" fillId="0" borderId="9" xfId="2" applyFont="1" applyBorder="1" applyAlignment="1">
      <alignment horizontal="center" vertical="center"/>
    </xf>
    <xf numFmtId="164" fontId="39" fillId="0" borderId="2" xfId="2" applyNumberFormat="1" applyFont="1" applyBorder="1" applyAlignment="1">
      <alignment horizontal="center" vertical="center"/>
    </xf>
    <xf numFmtId="164" fontId="39" fillId="0" borderId="39" xfId="2" applyNumberFormat="1" applyFont="1" applyBorder="1" applyAlignment="1">
      <alignment horizontal="center" vertical="center"/>
    </xf>
    <xf numFmtId="164" fontId="39" fillId="0" borderId="40" xfId="2" applyNumberFormat="1" applyFont="1" applyBorder="1" applyAlignment="1">
      <alignment horizontal="center" vertical="center"/>
    </xf>
    <xf numFmtId="0" fontId="13" fillId="0" borderId="0" xfId="1" applyFont="1" applyAlignment="1">
      <alignment vertical="center"/>
    </xf>
    <xf numFmtId="180" fontId="11" fillId="0" borderId="2" xfId="1" applyNumberFormat="1" applyFont="1" applyBorder="1" applyAlignment="1">
      <alignment horizontal="center" vertical="center"/>
    </xf>
    <xf numFmtId="0" fontId="28" fillId="0" borderId="16" xfId="2" applyFont="1" applyBorder="1" applyAlignment="1">
      <alignment horizontal="center" vertical="center"/>
    </xf>
    <xf numFmtId="0" fontId="33" fillId="0" borderId="0" xfId="2" applyFont="1" applyAlignment="1">
      <alignment horizontal="right" vertical="center"/>
    </xf>
    <xf numFmtId="0" fontId="35" fillId="0" borderId="20" xfId="2" applyFont="1" applyBorder="1" applyAlignment="1">
      <alignment horizontal="right" vertical="center"/>
    </xf>
    <xf numFmtId="164" fontId="28" fillId="0" borderId="0" xfId="2" applyNumberFormat="1" applyFont="1" applyAlignment="1">
      <alignment vertical="center"/>
    </xf>
    <xf numFmtId="169" fontId="22" fillId="0" borderId="35" xfId="2" applyNumberFormat="1" applyFont="1" applyBorder="1" applyAlignment="1">
      <alignment horizontal="center" vertical="center"/>
    </xf>
    <xf numFmtId="169" fontId="22" fillId="0" borderId="29" xfId="2" applyNumberFormat="1" applyFont="1" applyBorder="1" applyAlignment="1">
      <alignment horizontal="center" vertical="center"/>
    </xf>
    <xf numFmtId="0" fontId="26" fillId="0" borderId="2" xfId="2" applyFont="1" applyBorder="1" applyAlignment="1">
      <alignment horizontal="center" vertical="center"/>
    </xf>
    <xf numFmtId="164" fontId="22" fillId="0" borderId="38" xfId="2" applyNumberFormat="1" applyFont="1" applyBorder="1" applyAlignment="1">
      <alignment horizontal="center" vertical="center"/>
    </xf>
    <xf numFmtId="164" fontId="22" fillId="0" borderId="33" xfId="2" applyNumberFormat="1" applyFont="1" applyBorder="1" applyAlignment="1">
      <alignment horizontal="center" vertical="center"/>
    </xf>
    <xf numFmtId="164" fontId="22" fillId="0" borderId="35" xfId="2" applyNumberFormat="1" applyFont="1" applyBorder="1" applyAlignment="1">
      <alignment horizontal="center" vertical="center"/>
    </xf>
    <xf numFmtId="164" fontId="22" fillId="0" borderId="29" xfId="2" applyNumberFormat="1" applyFont="1" applyBorder="1" applyAlignment="1">
      <alignment horizontal="center" vertical="center"/>
    </xf>
    <xf numFmtId="0" fontId="25" fillId="0" borderId="0" xfId="2" applyNumberFormat="1" applyFont="1" applyAlignment="1">
      <alignment horizontal="center" vertical="center"/>
    </xf>
    <xf numFmtId="0" fontId="26" fillId="0" borderId="2" xfId="2" applyFont="1" applyBorder="1" applyAlignment="1">
      <alignment horizontal="center" vertical="center"/>
    </xf>
    <xf numFmtId="0" fontId="26" fillId="0" borderId="15" xfId="2" applyFont="1" applyBorder="1" applyAlignment="1">
      <alignment vertical="center"/>
    </xf>
    <xf numFmtId="0" fontId="26" fillId="0" borderId="17" xfId="2" applyFont="1" applyBorder="1" applyAlignment="1">
      <alignment vertical="center"/>
    </xf>
    <xf numFmtId="180" fontId="22" fillId="0" borderId="18" xfId="2" applyNumberFormat="1" applyFont="1" applyBorder="1" applyAlignment="1">
      <alignment horizontal="center" vertical="center"/>
    </xf>
    <xf numFmtId="0" fontId="22" fillId="0" borderId="0" xfId="2" applyFont="1" applyBorder="1" applyAlignment="1">
      <alignment vertical="center"/>
    </xf>
    <xf numFmtId="164" fontId="28" fillId="0" borderId="18" xfId="2" applyNumberFormat="1" applyFont="1" applyBorder="1" applyAlignment="1">
      <alignment horizontal="center" vertical="center"/>
    </xf>
    <xf numFmtId="164" fontId="22" fillId="0" borderId="21" xfId="2" applyNumberFormat="1" applyFont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6" fillId="0" borderId="0" xfId="2" applyFont="1" applyAlignment="1">
      <alignment horizontal="right" vertical="center"/>
    </xf>
    <xf numFmtId="0" fontId="22" fillId="0" borderId="18" xfId="2" applyFont="1" applyBorder="1" applyAlignment="1">
      <alignment horizontal="center" vertical="center"/>
    </xf>
    <xf numFmtId="0" fontId="22" fillId="0" borderId="0" xfId="2" applyFont="1" applyAlignment="1">
      <alignment horizontal="right" vertical="center"/>
    </xf>
    <xf numFmtId="0" fontId="22" fillId="0" borderId="13" xfId="2" applyFont="1" applyBorder="1" applyAlignment="1">
      <alignment horizontal="left" vertical="center"/>
    </xf>
    <xf numFmtId="164" fontId="22" fillId="0" borderId="18" xfId="2" applyNumberFormat="1" applyFont="1" applyBorder="1" applyAlignment="1">
      <alignment horizontal="center" vertical="center"/>
    </xf>
    <xf numFmtId="0" fontId="33" fillId="0" borderId="16" xfId="2" applyFont="1" applyBorder="1" applyAlignment="1">
      <alignment horizontal="center" vertical="center"/>
    </xf>
    <xf numFmtId="0" fontId="33" fillId="0" borderId="43" xfId="2" applyFont="1" applyBorder="1" applyAlignment="1">
      <alignment horizontal="center" vertical="center"/>
    </xf>
    <xf numFmtId="0" fontId="33" fillId="0" borderId="44" xfId="2" applyFont="1" applyBorder="1" applyAlignment="1">
      <alignment horizontal="center" vertical="center"/>
    </xf>
    <xf numFmtId="164" fontId="28" fillId="0" borderId="29" xfId="2" applyNumberFormat="1" applyFont="1" applyBorder="1" applyAlignment="1">
      <alignment horizontal="center" vertical="center"/>
    </xf>
    <xf numFmtId="0" fontId="23" fillId="4" borderId="47" xfId="2" applyFont="1" applyFill="1" applyBorder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26" fillId="0" borderId="0" xfId="2" applyFont="1" applyAlignment="1">
      <alignment horizontal="right" vertical="center"/>
    </xf>
    <xf numFmtId="0" fontId="22" fillId="0" borderId="9" xfId="2" applyFont="1" applyBorder="1" applyAlignment="1">
      <alignment horizontal="left" vertical="center"/>
    </xf>
    <xf numFmtId="0" fontId="22" fillId="0" borderId="13" xfId="2" applyFont="1" applyBorder="1" applyAlignment="1">
      <alignment horizontal="left" vertical="center"/>
    </xf>
    <xf numFmtId="0" fontId="30" fillId="0" borderId="9" xfId="2" applyFont="1" applyBorder="1" applyAlignment="1">
      <alignment horizontal="left" vertical="center"/>
    </xf>
    <xf numFmtId="0" fontId="22" fillId="0" borderId="20" xfId="2" applyFont="1" applyBorder="1" applyAlignment="1">
      <alignment horizontal="right" vertical="center"/>
    </xf>
    <xf numFmtId="0" fontId="22" fillId="0" borderId="20" xfId="2" applyFont="1" applyBorder="1" applyAlignment="1">
      <alignment horizontal="center" vertical="center"/>
    </xf>
    <xf numFmtId="0" fontId="26" fillId="0" borderId="14" xfId="2" applyFont="1" applyBorder="1" applyAlignment="1">
      <alignment horizontal="center" vertical="center"/>
    </xf>
    <xf numFmtId="0" fontId="26" fillId="0" borderId="15" xfId="2" applyFont="1" applyBorder="1" applyAlignment="1">
      <alignment horizontal="center" vertical="center"/>
    </xf>
    <xf numFmtId="0" fontId="26" fillId="0" borderId="16" xfId="2" applyFont="1" applyBorder="1" applyAlignment="1">
      <alignment horizontal="center" vertical="center"/>
    </xf>
    <xf numFmtId="164" fontId="22" fillId="0" borderId="0" xfId="2" applyNumberFormat="1" applyFont="1" applyAlignment="1">
      <alignment horizontal="center" vertical="center"/>
    </xf>
    <xf numFmtId="164" fontId="22" fillId="0" borderId="18" xfId="2" applyNumberFormat="1" applyFont="1" applyBorder="1" applyAlignment="1">
      <alignment horizontal="center" vertical="center"/>
    </xf>
    <xf numFmtId="0" fontId="26" fillId="0" borderId="17" xfId="2" applyFont="1" applyBorder="1" applyAlignment="1">
      <alignment horizontal="right" vertical="center"/>
    </xf>
    <xf numFmtId="0" fontId="22" fillId="0" borderId="0" xfId="2" applyFont="1" applyAlignment="1">
      <alignment horizontal="center" vertical="center"/>
    </xf>
    <xf numFmtId="1" fontId="22" fillId="0" borderId="0" xfId="2" applyNumberFormat="1" applyFont="1" applyAlignment="1">
      <alignment horizontal="right" vertical="center"/>
    </xf>
    <xf numFmtId="2" fontId="26" fillId="0" borderId="0" xfId="2" applyNumberFormat="1" applyFont="1" applyAlignment="1">
      <alignment horizontal="right" vertical="center"/>
    </xf>
    <xf numFmtId="0" fontId="26" fillId="0" borderId="19" xfId="2" applyFont="1" applyBorder="1" applyAlignment="1">
      <alignment horizontal="right" vertical="center"/>
    </xf>
    <xf numFmtId="0" fontId="26" fillId="0" borderId="20" xfId="2" applyFont="1" applyBorder="1" applyAlignment="1">
      <alignment horizontal="right" vertical="center"/>
    </xf>
    <xf numFmtId="0" fontId="22" fillId="0" borderId="0" xfId="2" applyFont="1" applyAlignment="1">
      <alignment horizontal="right" vertical="center"/>
    </xf>
    <xf numFmtId="0" fontId="26" fillId="0" borderId="22" xfId="2" applyFont="1" applyBorder="1" applyAlignment="1">
      <alignment horizontal="center" vertical="center"/>
    </xf>
    <xf numFmtId="0" fontId="26" fillId="0" borderId="48" xfId="2" applyFont="1" applyBorder="1" applyAlignment="1">
      <alignment horizontal="center" vertical="center"/>
    </xf>
    <xf numFmtId="0" fontId="26" fillId="0" borderId="27" xfId="2" applyFont="1" applyBorder="1" applyAlignment="1">
      <alignment horizontal="center" vertical="center"/>
    </xf>
    <xf numFmtId="0" fontId="26" fillId="0" borderId="15" xfId="2" applyFont="1" applyBorder="1" applyAlignment="1">
      <alignment horizontal="right" vertical="center"/>
    </xf>
    <xf numFmtId="0" fontId="22" fillId="0" borderId="18" xfId="2" applyFont="1" applyBorder="1" applyAlignment="1">
      <alignment horizontal="center" vertical="center"/>
    </xf>
    <xf numFmtId="175" fontId="22" fillId="0" borderId="0" xfId="2" applyNumberFormat="1" applyFont="1" applyAlignment="1">
      <alignment horizontal="center" vertical="center"/>
    </xf>
    <xf numFmtId="175" fontId="22" fillId="0" borderId="18" xfId="2" applyNumberFormat="1" applyFont="1" applyBorder="1" applyAlignment="1">
      <alignment horizontal="center" vertical="center"/>
    </xf>
    <xf numFmtId="174" fontId="22" fillId="0" borderId="0" xfId="2" applyNumberFormat="1" applyFont="1" applyAlignment="1">
      <alignment horizontal="center" vertical="center"/>
    </xf>
    <xf numFmtId="174" fontId="22" fillId="0" borderId="18" xfId="2" applyNumberFormat="1" applyFont="1" applyBorder="1" applyAlignment="1">
      <alignment horizontal="center" vertical="center"/>
    </xf>
    <xf numFmtId="0" fontId="27" fillId="0" borderId="17" xfId="2" applyFont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0" borderId="18" xfId="2" applyFont="1" applyBorder="1" applyAlignment="1">
      <alignment horizontal="center" vertical="center"/>
    </xf>
    <xf numFmtId="176" fontId="22" fillId="0" borderId="17" xfId="2" applyNumberFormat="1" applyFont="1" applyBorder="1" applyAlignment="1">
      <alignment horizontal="center" vertical="center"/>
    </xf>
    <xf numFmtId="176" fontId="22" fillId="0" borderId="0" xfId="2" applyNumberFormat="1" applyFont="1" applyAlignment="1">
      <alignment horizontal="center" vertical="center"/>
    </xf>
    <xf numFmtId="176" fontId="22" fillId="0" borderId="18" xfId="2" applyNumberFormat="1" applyFont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31" fillId="0" borderId="0" xfId="2" applyFont="1" applyAlignment="1">
      <alignment horizontal="center" vertical="center"/>
    </xf>
    <xf numFmtId="3" fontId="32" fillId="0" borderId="18" xfId="2" applyNumberFormat="1" applyFont="1" applyBorder="1" applyAlignment="1">
      <alignment horizontal="center" vertical="center"/>
    </xf>
    <xf numFmtId="0" fontId="30" fillId="0" borderId="0" xfId="2" applyFont="1" applyAlignment="1">
      <alignment horizontal="right" vertical="center"/>
    </xf>
    <xf numFmtId="0" fontId="26" fillId="0" borderId="14" xfId="2" applyFont="1" applyBorder="1" applyAlignment="1">
      <alignment horizontal="right" vertical="center"/>
    </xf>
    <xf numFmtId="0" fontId="26" fillId="0" borderId="33" xfId="2" applyFont="1" applyBorder="1" applyAlignment="1">
      <alignment horizontal="center" vertical="center"/>
    </xf>
    <xf numFmtId="0" fontId="26" fillId="0" borderId="28" xfId="2" applyFont="1" applyBorder="1" applyAlignment="1">
      <alignment horizontal="center" vertical="center"/>
    </xf>
    <xf numFmtId="0" fontId="26" fillId="0" borderId="23" xfId="2" applyFont="1" applyBorder="1" applyAlignment="1">
      <alignment horizontal="center" vertical="center"/>
    </xf>
    <xf numFmtId="0" fontId="26" fillId="0" borderId="29" xfId="2" applyFont="1" applyBorder="1" applyAlignment="1">
      <alignment horizontal="center" vertical="center"/>
    </xf>
    <xf numFmtId="0" fontId="26" fillId="0" borderId="24" xfId="2" applyFont="1" applyBorder="1" applyAlignment="1">
      <alignment horizontal="center" vertical="center"/>
    </xf>
    <xf numFmtId="0" fontId="26" fillId="0" borderId="30" xfId="2" applyFont="1" applyBorder="1" applyAlignment="1">
      <alignment horizontal="center" vertical="center"/>
    </xf>
    <xf numFmtId="0" fontId="26" fillId="0" borderId="26" xfId="2" applyFont="1" applyBorder="1" applyAlignment="1">
      <alignment horizontal="center" vertical="center"/>
    </xf>
    <xf numFmtId="0" fontId="26" fillId="0" borderId="32" xfId="2" applyFont="1" applyBorder="1" applyAlignment="1">
      <alignment horizontal="center" vertical="center"/>
    </xf>
    <xf numFmtId="164" fontId="22" fillId="0" borderId="0" xfId="2" applyNumberFormat="1" applyFont="1" applyBorder="1" applyAlignment="1">
      <alignment horizontal="center" vertical="center"/>
    </xf>
    <xf numFmtId="0" fontId="26" fillId="0" borderId="0" xfId="2" applyFont="1" applyBorder="1" applyAlignment="1">
      <alignment horizontal="right" vertical="center"/>
    </xf>
    <xf numFmtId="176" fontId="22" fillId="0" borderId="19" xfId="2" applyNumberFormat="1" applyFont="1" applyBorder="1" applyAlignment="1">
      <alignment horizontal="center" vertical="center"/>
    </xf>
    <xf numFmtId="176" fontId="22" fillId="0" borderId="20" xfId="2" applyNumberFormat="1" applyFont="1" applyBorder="1" applyAlignment="1">
      <alignment horizontal="center" vertical="center"/>
    </xf>
    <xf numFmtId="176" fontId="22" fillId="0" borderId="21" xfId="2" applyNumberFormat="1" applyFont="1" applyBorder="1" applyAlignment="1">
      <alignment horizontal="center" vertical="center"/>
    </xf>
    <xf numFmtId="0" fontId="22" fillId="0" borderId="0" xfId="2" applyFont="1" applyBorder="1" applyAlignment="1">
      <alignment horizontal="center" vertical="center"/>
    </xf>
    <xf numFmtId="175" fontId="22" fillId="0" borderId="0" xfId="2" applyNumberFormat="1" applyFont="1" applyBorder="1" applyAlignment="1">
      <alignment horizontal="center" vertical="center"/>
    </xf>
    <xf numFmtId="174" fontId="22" fillId="0" borderId="0" xfId="2" applyNumberFormat="1" applyFont="1" applyBorder="1" applyAlignment="1">
      <alignment horizontal="center" vertical="center"/>
    </xf>
    <xf numFmtId="0" fontId="26" fillId="0" borderId="17" xfId="2" applyFont="1" applyBorder="1" applyAlignment="1">
      <alignment horizontal="center" vertical="center"/>
    </xf>
    <xf numFmtId="0" fontId="26" fillId="0" borderId="0" xfId="2" applyFont="1" applyBorder="1" applyAlignment="1">
      <alignment horizontal="center" vertical="center"/>
    </xf>
    <xf numFmtId="0" fontId="26" fillId="0" borderId="18" xfId="2" applyFont="1" applyBorder="1" applyAlignment="1">
      <alignment horizontal="center" vertical="center"/>
    </xf>
    <xf numFmtId="0" fontId="33" fillId="0" borderId="16" xfId="2" applyFont="1" applyBorder="1" applyAlignment="1">
      <alignment horizontal="center" vertical="center"/>
    </xf>
    <xf numFmtId="0" fontId="33" fillId="0" borderId="21" xfId="2" applyFont="1" applyBorder="1" applyAlignment="1">
      <alignment horizontal="center" vertical="center"/>
    </xf>
    <xf numFmtId="0" fontId="33" fillId="0" borderId="43" xfId="2" applyFont="1" applyBorder="1" applyAlignment="1">
      <alignment horizontal="center" vertical="center"/>
    </xf>
    <xf numFmtId="0" fontId="33" fillId="0" borderId="44" xfId="2" applyFont="1" applyBorder="1" applyAlignment="1">
      <alignment horizontal="center" vertical="center"/>
    </xf>
    <xf numFmtId="0" fontId="33" fillId="0" borderId="24" xfId="2" applyFont="1" applyBorder="1" applyAlignment="1">
      <alignment horizontal="center" vertical="center"/>
    </xf>
    <xf numFmtId="0" fontId="33" fillId="0" borderId="25" xfId="2" applyFont="1" applyBorder="1" applyAlignment="1">
      <alignment horizontal="center" vertical="center"/>
    </xf>
    <xf numFmtId="0" fontId="33" fillId="0" borderId="26" xfId="2" applyFont="1" applyBorder="1" applyAlignment="1">
      <alignment horizontal="center" vertical="center"/>
    </xf>
    <xf numFmtId="0" fontId="26" fillId="0" borderId="2" xfId="2" applyFont="1" applyBorder="1" applyAlignment="1">
      <alignment horizontal="center" vertical="center"/>
    </xf>
    <xf numFmtId="164" fontId="26" fillId="0" borderId="2" xfId="2" applyNumberFormat="1" applyFont="1" applyBorder="1" applyAlignment="1">
      <alignment horizontal="center" vertical="center"/>
    </xf>
    <xf numFmtId="0" fontId="22" fillId="0" borderId="2" xfId="2" applyFont="1" applyBorder="1" applyAlignment="1">
      <alignment horizontal="left" vertical="center"/>
    </xf>
    <xf numFmtId="14" fontId="22" fillId="0" borderId="2" xfId="2" applyNumberFormat="1" applyFont="1" applyBorder="1" applyAlignment="1">
      <alignment horizontal="left" vertical="center"/>
    </xf>
    <xf numFmtId="175" fontId="22" fillId="0" borderId="2" xfId="2" applyNumberFormat="1" applyFont="1" applyBorder="1" applyAlignment="1">
      <alignment horizontal="center" vertical="center"/>
    </xf>
    <xf numFmtId="174" fontId="22" fillId="0" borderId="2" xfId="2" applyNumberFormat="1" applyFont="1" applyBorder="1" applyAlignment="1">
      <alignment horizontal="center" vertical="center"/>
    </xf>
    <xf numFmtId="174" fontId="38" fillId="0" borderId="2" xfId="2" applyNumberFormat="1" applyFont="1" applyBorder="1" applyAlignment="1">
      <alignment horizontal="center" vertical="center"/>
    </xf>
    <xf numFmtId="164" fontId="22" fillId="0" borderId="2" xfId="2" applyNumberFormat="1" applyFont="1" applyBorder="1" applyAlignment="1">
      <alignment horizontal="right" vertical="center"/>
    </xf>
    <xf numFmtId="174" fontId="22" fillId="0" borderId="2" xfId="2" applyNumberFormat="1" applyFont="1" applyBorder="1" applyAlignment="1">
      <alignment horizontal="right" vertical="center"/>
    </xf>
    <xf numFmtId="0" fontId="13" fillId="0" borderId="9" xfId="1" applyFont="1" applyBorder="1" applyAlignment="1">
      <alignment horizontal="center" vertical="center"/>
    </xf>
    <xf numFmtId="167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67" fontId="12" fillId="0" borderId="0" xfId="1" applyNumberFormat="1" applyFont="1" applyAlignment="1">
      <alignment horizontal="center" vertical="center"/>
    </xf>
  </cellXfs>
  <cellStyles count="3">
    <cellStyle name="Normal" xfId="0" builtinId="0"/>
    <cellStyle name="Normal 2" xfId="1"/>
    <cellStyle name="Normal 3" xfId="2"/>
  </cellStyles>
  <dxfs count="26"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</font>
    </dxf>
    <dxf>
      <font>
        <strike/>
        <color auto="1"/>
      </font>
    </dxf>
    <dxf>
      <font>
        <strike/>
      </font>
    </dxf>
    <dxf>
      <font>
        <strike/>
        <color rgb="FFFF0000"/>
      </font>
    </dxf>
    <dxf>
      <font>
        <strike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  <u val="none"/>
        <color rgb="FFFF0000"/>
      </font>
    </dxf>
    <dxf>
      <font>
        <strike/>
        <color auto="1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/>
      </font>
    </dxf>
    <dxf>
      <font>
        <strike/>
        <color rgb="FFFF0000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0000FF"/>
      </font>
    </dxf>
    <dxf>
      <font>
        <b val="0"/>
        <i/>
        <strike val="0"/>
        <color rgb="FFFF0000"/>
      </font>
    </dxf>
    <dxf>
      <font>
        <b val="0"/>
        <i/>
        <strike/>
        <color rgb="FFFF0000"/>
      </font>
    </dxf>
    <dxf>
      <font>
        <color rgb="FF0000FF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00FF"/>
      <color rgb="FF00CC00"/>
      <color rgb="FF00FF00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Z$12" lockText="1"/>
</file>

<file path=xl/ctrlProps/ctrlProp2.xml><?xml version="1.0" encoding="utf-8"?>
<formControlPr xmlns="http://schemas.microsoft.com/office/spreadsheetml/2009/9/main" objectType="CheckBox" checked="Checked" fmlaLink="$P$4" lockText="1"/>
</file>

<file path=xl/ctrlProps/ctrlProp3.xml><?xml version="1.0" encoding="utf-8"?>
<formControlPr xmlns="http://schemas.microsoft.com/office/spreadsheetml/2009/9/main" objectType="CheckBox" checked="Checked" fmlaLink="$P$5" lockText="1"/>
</file>

<file path=xl/ctrlProps/ctrlProp4.xml><?xml version="1.0" encoding="utf-8"?>
<formControlPr xmlns="http://schemas.microsoft.com/office/spreadsheetml/2009/9/main" objectType="CheckBox" checked="Checked" fmlaLink="$P$8" lockText="1"/>
</file>

<file path=xl/ctrlProps/ctrlProp5.xml><?xml version="1.0" encoding="utf-8"?>
<formControlPr xmlns="http://schemas.microsoft.com/office/spreadsheetml/2009/9/main" objectType="CheckBox" checked="Checked" fmlaLink="$P$9" lockText="1"/>
</file>

<file path=xl/ctrlProps/ctrlProp6.xml><?xml version="1.0" encoding="utf-8"?>
<formControlPr xmlns="http://schemas.microsoft.com/office/spreadsheetml/2009/9/main" objectType="CheckBox" checked="Checked" fmlaLink="$P$12" lockText="1"/>
</file>

<file path=xl/ctrlProps/ctrlProp7.xml><?xml version="1.0" encoding="utf-8"?>
<formControlPr xmlns="http://schemas.microsoft.com/office/spreadsheetml/2009/9/main" objectType="CheckBox" checked="Checked" fmlaLink="$P$13" lockText="1"/>
</file>

<file path=xl/ctrlProps/ctrlProp8.xml><?xml version="1.0" encoding="utf-8"?>
<formControlPr xmlns="http://schemas.microsoft.com/office/spreadsheetml/2009/9/main" objectType="CheckBox" checked="Checked" fmlaLink="$P$16" lockText="1"/>
</file>

<file path=xl/ctrlProps/ctrlProp9.xml><?xml version="1.0" encoding="utf-8"?>
<formControlPr xmlns="http://schemas.microsoft.com/office/spreadsheetml/2009/9/main" objectType="CheckBox" checked="Checked" fmlaLink="$P$17" lockText="1"/>
</file>

<file path=xl/ctrlProps/ctrlProp10.xml><?xml version="1.0" encoding="utf-8"?>
<formControlPr xmlns="http://schemas.microsoft.com/office/spreadsheetml/2009/9/main" objectType="CheckBox" checked="Checked" fmlaLink="$P$24" lockText="1"/>
</file>

<file path=xl/ctrlProps/ctrlProp11.xml><?xml version="1.0" encoding="utf-8"?>
<formControlPr xmlns="http://schemas.microsoft.com/office/spreadsheetml/2009/9/main" objectType="CheckBox" checked="Checked" fmlaLink="$P$25" lockText="1"/>
</file>

<file path=xl/ctrlProps/ctrlProp12.xml><?xml version="1.0" encoding="utf-8"?>
<formControlPr xmlns="http://schemas.microsoft.com/office/spreadsheetml/2009/9/main" objectType="CheckBox" checked="Checked" fmlaLink="$P$28" lockText="1"/>
</file>

<file path=xl/ctrlProps/ctrlProp13.xml><?xml version="1.0" encoding="utf-8"?>
<formControlPr xmlns="http://schemas.microsoft.com/office/spreadsheetml/2009/9/main" objectType="CheckBox" checked="Checked" fmlaLink="$P$29" lockText="1"/>
</file>

<file path=xl/ctrlProps/ctrlProp14.xml><?xml version="1.0" encoding="utf-8"?>
<formControlPr xmlns="http://schemas.microsoft.com/office/spreadsheetml/2009/9/main" objectType="CheckBox" checked="Checked" fmlaLink="$P$32" lockText="1"/>
</file>

<file path=xl/ctrlProps/ctrlProp15.xml><?xml version="1.0" encoding="utf-8"?>
<formControlPr xmlns="http://schemas.microsoft.com/office/spreadsheetml/2009/9/main" objectType="CheckBox" checked="Checked" fmlaLink="$P$33" lockText="1"/>
</file>

<file path=xl/ctrlProps/ctrlProp16.xml><?xml version="1.0" encoding="utf-8"?>
<formControlPr xmlns="http://schemas.microsoft.com/office/spreadsheetml/2009/9/main" objectType="CheckBox" checked="Checked" fmlaLink="$P$36" lockText="1"/>
</file>

<file path=xl/ctrlProps/ctrlProp17.xml><?xml version="1.0" encoding="utf-8"?>
<formControlPr xmlns="http://schemas.microsoft.com/office/spreadsheetml/2009/9/main" objectType="CheckBox" checked="Checked" fmlaLink="$P$37" lockText="1"/>
</file>

<file path=xl/ctrlProps/ctrlProp18.xml><?xml version="1.0" encoding="utf-8"?>
<formControlPr xmlns="http://schemas.microsoft.com/office/spreadsheetml/2009/9/main" objectType="CheckBox" checked="Checked" fmlaLink="$P$43" lockText="1"/>
</file>

<file path=xl/ctrlProps/ctrlProp19.xml><?xml version="1.0" encoding="utf-8"?>
<formControlPr xmlns="http://schemas.microsoft.com/office/spreadsheetml/2009/9/main" objectType="CheckBox" checked="Checked" fmlaLink="$P$44" lockText="1"/>
</file>

<file path=xl/ctrlProps/ctrlProp20.xml><?xml version="1.0" encoding="utf-8"?>
<formControlPr xmlns="http://schemas.microsoft.com/office/spreadsheetml/2009/9/main" objectType="CheckBox" checked="Checked" fmlaLink="$P$47" lockText="1"/>
</file>

<file path=xl/ctrlProps/ctrlProp21.xml><?xml version="1.0" encoding="utf-8"?>
<formControlPr xmlns="http://schemas.microsoft.com/office/spreadsheetml/2009/9/main" objectType="CheckBox" checked="Checked" fmlaLink="$P$48" lockText="1"/>
</file>

<file path=xl/ctrlProps/ctrlProp22.xml><?xml version="1.0" encoding="utf-8"?>
<formControlPr xmlns="http://schemas.microsoft.com/office/spreadsheetml/2009/9/main" objectType="CheckBox" checked="Checked" fmlaLink="$P$51" lockText="1"/>
</file>

<file path=xl/ctrlProps/ctrlProp23.xml><?xml version="1.0" encoding="utf-8"?>
<formControlPr xmlns="http://schemas.microsoft.com/office/spreadsheetml/2009/9/main" objectType="CheckBox" checked="Checked" fmlaLink="$P$52" lockText="1"/>
</file>

<file path=xl/ctrlProps/ctrlProp24.xml><?xml version="1.0" encoding="utf-8"?>
<formControlPr xmlns="http://schemas.microsoft.com/office/spreadsheetml/2009/9/main" objectType="CheckBox" checked="Checked" fmlaLink="$P$55" lockText="1"/>
</file>

<file path=xl/ctrlProps/ctrlProp25.xml><?xml version="1.0" encoding="utf-8"?>
<formControlPr xmlns="http://schemas.microsoft.com/office/spreadsheetml/2009/9/main" objectType="CheckBox" checked="Checked" fmlaLink="$P$56" lockText="1"/>
</file>

<file path=xl/ctrlProps/ctrlProp26.xml><?xml version="1.0" encoding="utf-8"?>
<formControlPr xmlns="http://schemas.microsoft.com/office/spreadsheetml/2009/9/main" objectType="CheckBox" checked="Checked" fmlaLink="$R$4" lockText="1"/>
</file>

<file path=xl/ctrlProps/ctrlProp27.xml><?xml version="1.0" encoding="utf-8"?>
<formControlPr xmlns="http://schemas.microsoft.com/office/spreadsheetml/2009/9/main" objectType="CheckBox" checked="Checked" fmlaLink="$R$8" lockText="1"/>
</file>

<file path=xl/ctrlProps/ctrlProp28.xml><?xml version="1.0" encoding="utf-8"?>
<formControlPr xmlns="http://schemas.microsoft.com/office/spreadsheetml/2009/9/main" objectType="CheckBox" checked="Checked" fmlaLink="$R$12" lockText="1"/>
</file>

<file path=xl/ctrlProps/ctrlProp29.xml><?xml version="1.0" encoding="utf-8"?>
<formControlPr xmlns="http://schemas.microsoft.com/office/spreadsheetml/2009/9/main" objectType="CheckBox" checked="Checked" fmlaLink="$R$16" lockText="1"/>
</file>

<file path=xl/ctrlProps/ctrlProp30.xml><?xml version="1.0" encoding="utf-8"?>
<formControlPr xmlns="http://schemas.microsoft.com/office/spreadsheetml/2009/9/main" objectType="CheckBox" checked="Checked" fmlaLink="$R$24" lockText="1"/>
</file>

<file path=xl/ctrlProps/ctrlProp31.xml><?xml version="1.0" encoding="utf-8"?>
<formControlPr xmlns="http://schemas.microsoft.com/office/spreadsheetml/2009/9/main" objectType="CheckBox" checked="Checked" fmlaLink="$R$28" lockText="1"/>
</file>

<file path=xl/ctrlProps/ctrlProp32.xml><?xml version="1.0" encoding="utf-8"?>
<formControlPr xmlns="http://schemas.microsoft.com/office/spreadsheetml/2009/9/main" objectType="CheckBox" checked="Checked" fmlaLink="$R$32" lockText="1"/>
</file>

<file path=xl/ctrlProps/ctrlProp33.xml><?xml version="1.0" encoding="utf-8"?>
<formControlPr xmlns="http://schemas.microsoft.com/office/spreadsheetml/2009/9/main" objectType="CheckBox" checked="Checked" fmlaLink="$R$36" lockText="1"/>
</file>

<file path=xl/ctrlProps/ctrlProp34.xml><?xml version="1.0" encoding="utf-8"?>
<formControlPr xmlns="http://schemas.microsoft.com/office/spreadsheetml/2009/9/main" objectType="CheckBox" checked="Checked" fmlaLink="$R$43" lockText="1"/>
</file>

<file path=xl/ctrlProps/ctrlProp35.xml><?xml version="1.0" encoding="utf-8"?>
<formControlPr xmlns="http://schemas.microsoft.com/office/spreadsheetml/2009/9/main" objectType="CheckBox" checked="Checked" fmlaLink="$R$47" lockText="1"/>
</file>

<file path=xl/ctrlProps/ctrlProp36.xml><?xml version="1.0" encoding="utf-8"?>
<formControlPr xmlns="http://schemas.microsoft.com/office/spreadsheetml/2009/9/main" objectType="CheckBox" checked="Checked" fmlaLink="$R$51" lockText="1"/>
</file>

<file path=xl/ctrlProps/ctrlProp37.xml><?xml version="1.0" encoding="utf-8"?>
<formControlPr xmlns="http://schemas.microsoft.com/office/spreadsheetml/2009/9/main" objectType="CheckBox" checked="Checked" fmlaLink="$R$55" lockText="1"/>
</file>

<file path=xl/ctrlProps/ctrlProp38.xml><?xml version="1.0" encoding="utf-8"?>
<formControlPr xmlns="http://schemas.microsoft.com/office/spreadsheetml/2009/9/main" objectType="CheckBox" checked="Checked" fmlaLink="$T$4" lockText="1"/>
</file>

<file path=xl/ctrlProps/ctrlProp39.xml><?xml version="1.0" encoding="utf-8"?>
<formControlPr xmlns="http://schemas.microsoft.com/office/spreadsheetml/2009/9/main" objectType="CheckBox" checked="Checked" fmlaLink="$T$12" lockText="1"/>
</file>

<file path=xl/ctrlProps/ctrlProp40.xml><?xml version="1.0" encoding="utf-8"?>
<formControlPr xmlns="http://schemas.microsoft.com/office/spreadsheetml/2009/9/main" objectType="CheckBox" checked="Checked" fmlaLink="$T$32" lockText="1"/>
</file>

<file path=xl/ctrlProps/ctrlProp41.xml><?xml version="1.0" encoding="utf-8"?>
<formControlPr xmlns="http://schemas.microsoft.com/office/spreadsheetml/2009/9/main" objectType="CheckBox" checked="Checked" fmlaLink="$T$51" lockText="1"/>
</file>

<file path=xl/ctrlProps/ctrlProp42.xml><?xml version="1.0" encoding="utf-8"?>
<formControlPr xmlns="http://schemas.microsoft.com/office/spreadsheetml/2009/9/main" objectType="CheckBox" checked="Checked" fmlaLink="$T$43" lockText="1"/>
</file>

<file path=xl/ctrlProps/ctrlProp43.xml><?xml version="1.0" encoding="utf-8"?>
<formControlPr xmlns="http://schemas.microsoft.com/office/spreadsheetml/2009/9/main" objectType="CheckBox" checked="Checked" fmlaLink="$T$24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452437</xdr:colOff>
      <xdr:row>17</xdr:row>
      <xdr:rowOff>166687</xdr:rowOff>
    </xdr:from>
    <xdr:ext cx="184731" cy="264560"/>
    <xdr:sp macro="" textlink="">
      <xdr:nvSpPr>
        <xdr:cNvPr id="13" name="TextBox 12"/>
        <xdr:cNvSpPr txBox="1"/>
      </xdr:nvSpPr>
      <xdr:spPr>
        <a:xfrm>
          <a:off x="14787562" y="364331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11</xdr:col>
      <xdr:colOff>412751</xdr:colOff>
      <xdr:row>2</xdr:row>
      <xdr:rowOff>63506</xdr:rowOff>
    </xdr:from>
    <xdr:to>
      <xdr:col>13</xdr:col>
      <xdr:colOff>254583</xdr:colOff>
      <xdr:row>6</xdr:row>
      <xdr:rowOff>21506</xdr:rowOff>
    </xdr:to>
    <xdr:grpSp>
      <xdr:nvGrpSpPr>
        <xdr:cNvPr id="21" name="Group 20"/>
        <xdr:cNvGrpSpPr/>
      </xdr:nvGrpSpPr>
      <xdr:grpSpPr>
        <a:xfrm>
          <a:off x="11604626" y="682631"/>
          <a:ext cx="1937332" cy="720000"/>
          <a:chOff x="11715752" y="3397250"/>
          <a:chExt cx="1937332" cy="720000"/>
        </a:xfrm>
      </xdr:grpSpPr>
      <xdr:pic macro="[0]!ImportTextFileTS">
        <xdr:nvPicPr>
          <xdr:cNvPr id="14" name="Picture 13"/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0914" t="4860" r="13452" b="5227"/>
          <a:stretch/>
        </xdr:blipFill>
        <xdr:spPr>
          <a:xfrm>
            <a:off x="11715752" y="3397250"/>
            <a:ext cx="644324" cy="720000"/>
          </a:xfrm>
          <a:prstGeom prst="rect">
            <a:avLst/>
          </a:prstGeom>
        </xdr:spPr>
      </xdr:pic>
      <xdr:sp macro="[0]!ImportTextFileTS" textlink="">
        <xdr:nvSpPr>
          <xdr:cNvPr id="16" name="TextBox 15"/>
          <xdr:cNvSpPr txBox="1"/>
        </xdr:nvSpPr>
        <xdr:spPr>
          <a:xfrm>
            <a:off x="12393084" y="3605706"/>
            <a:ext cx="126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IMPORT</a:t>
            </a:r>
            <a:r>
              <a:rPr lang="en-GB" sz="1000" b="1" baseline="0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 RAW</a:t>
            </a:r>
            <a:endParaRPr lang="en-GB" sz="1000" b="1">
              <a:solidFill>
                <a:srgbClr val="0000FF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11</xdr:col>
      <xdr:colOff>412751</xdr:colOff>
      <xdr:row>7</xdr:row>
      <xdr:rowOff>5</xdr:rowOff>
    </xdr:from>
    <xdr:to>
      <xdr:col>13</xdr:col>
      <xdr:colOff>650570</xdr:colOff>
      <xdr:row>10</xdr:row>
      <xdr:rowOff>148505</xdr:rowOff>
    </xdr:to>
    <xdr:grpSp>
      <xdr:nvGrpSpPr>
        <xdr:cNvPr id="26" name="Group 25"/>
        <xdr:cNvGrpSpPr/>
      </xdr:nvGrpSpPr>
      <xdr:grpSpPr>
        <a:xfrm>
          <a:off x="11604626" y="1571630"/>
          <a:ext cx="2333319" cy="720000"/>
          <a:chOff x="11726334" y="5556250"/>
          <a:chExt cx="2333319" cy="720000"/>
        </a:xfrm>
      </xdr:grpSpPr>
      <xdr:pic macro="[0]!TransformTS_RAW">
        <xdr:nvPicPr>
          <xdr:cNvPr id="20" name="Picture 19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26334" y="5556250"/>
            <a:ext cx="827163" cy="720000"/>
          </a:xfrm>
          <a:prstGeom prst="rect">
            <a:avLst/>
          </a:prstGeom>
        </xdr:spPr>
      </xdr:pic>
      <xdr:sp macro="[0]!TransformTS_RAW" textlink="">
        <xdr:nvSpPr>
          <xdr:cNvPr id="25" name="TextBox 24"/>
          <xdr:cNvSpPr txBox="1"/>
        </xdr:nvSpPr>
        <xdr:spPr>
          <a:xfrm>
            <a:off x="12439653" y="5761566"/>
            <a:ext cx="16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CLEAN-TS RAW</a:t>
            </a:r>
          </a:p>
        </xdr:txBody>
      </xdr:sp>
    </xdr:grpSp>
    <xdr:clientData/>
  </xdr:twoCellAnchor>
  <xdr:twoCellAnchor>
    <xdr:from>
      <xdr:col>11</xdr:col>
      <xdr:colOff>392907</xdr:colOff>
      <xdr:row>11</xdr:row>
      <xdr:rowOff>107157</xdr:rowOff>
    </xdr:from>
    <xdr:to>
      <xdr:col>13</xdr:col>
      <xdr:colOff>296918</xdr:colOff>
      <xdr:row>15</xdr:row>
      <xdr:rowOff>65157</xdr:rowOff>
    </xdr:to>
    <xdr:grpSp>
      <xdr:nvGrpSpPr>
        <xdr:cNvPr id="15" name="Group 14"/>
        <xdr:cNvGrpSpPr/>
      </xdr:nvGrpSpPr>
      <xdr:grpSpPr>
        <a:xfrm>
          <a:off x="11584782" y="2440782"/>
          <a:ext cx="1999511" cy="720000"/>
          <a:chOff x="11584782" y="2440782"/>
          <a:chExt cx="1999511" cy="720000"/>
        </a:xfrm>
      </xdr:grpSpPr>
      <xdr:sp macro="[0]!ClearAll_TS" textlink="">
        <xdr:nvSpPr>
          <xdr:cNvPr id="23" name="TextBox 22"/>
          <xdr:cNvSpPr txBox="1"/>
        </xdr:nvSpPr>
        <xdr:spPr>
          <a:xfrm>
            <a:off x="12324293" y="2693464"/>
            <a:ext cx="126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</a:t>
            </a:r>
          </a:p>
        </xdr:txBody>
      </xdr:sp>
      <xdr:pic macro="[0]!ClearAll_TS">
        <xdr:nvPicPr>
          <xdr:cNvPr id="12" name="Picture 1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584782" y="2440782"/>
            <a:ext cx="749454" cy="720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285750</xdr:colOff>
      <xdr:row>2</xdr:row>
      <xdr:rowOff>95257</xdr:rowOff>
    </xdr:from>
    <xdr:to>
      <xdr:col>15</xdr:col>
      <xdr:colOff>352743</xdr:colOff>
      <xdr:row>6</xdr:row>
      <xdr:rowOff>53257</xdr:rowOff>
    </xdr:to>
    <xdr:grpSp>
      <xdr:nvGrpSpPr>
        <xdr:cNvPr id="10" name="Group 9"/>
        <xdr:cNvGrpSpPr/>
      </xdr:nvGrpSpPr>
      <xdr:grpSpPr>
        <a:xfrm>
          <a:off x="13239750" y="714382"/>
          <a:ext cx="2162493" cy="720000"/>
          <a:chOff x="13239750" y="2190750"/>
          <a:chExt cx="2162493" cy="720000"/>
        </a:xfrm>
      </xdr:grpSpPr>
      <xdr:sp macro="[0]!TopconTS_RAWToStarNet" textlink="">
        <xdr:nvSpPr>
          <xdr:cNvPr id="9" name="TextBox 8"/>
          <xdr:cNvSpPr txBox="1"/>
        </xdr:nvSpPr>
        <xdr:spPr>
          <a:xfrm>
            <a:off x="14142243" y="2355057"/>
            <a:ext cx="126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STAR*NET</a:t>
            </a:r>
          </a:p>
        </xdr:txBody>
      </xdr:sp>
      <xdr:pic macro="[0]!TopconTS_RAWToStarNet"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39750" y="2190750"/>
            <a:ext cx="892249" cy="72000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285750</xdr:colOff>
      <xdr:row>7</xdr:row>
      <xdr:rowOff>23816</xdr:rowOff>
    </xdr:from>
    <xdr:to>
      <xdr:col>15</xdr:col>
      <xdr:colOff>328931</xdr:colOff>
      <xdr:row>10</xdr:row>
      <xdr:rowOff>172316</xdr:rowOff>
    </xdr:to>
    <xdr:grpSp>
      <xdr:nvGrpSpPr>
        <xdr:cNvPr id="13" name="Group 12"/>
        <xdr:cNvGrpSpPr/>
      </xdr:nvGrpSpPr>
      <xdr:grpSpPr>
        <a:xfrm>
          <a:off x="13239750" y="1595441"/>
          <a:ext cx="2138681" cy="720000"/>
          <a:chOff x="13263563" y="1512099"/>
          <a:chExt cx="2138681" cy="720000"/>
        </a:xfrm>
      </xdr:grpSpPr>
      <xdr:pic macro="[0]!CleanedRawToAngSet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263563" y="1512099"/>
            <a:ext cx="869309" cy="720000"/>
          </a:xfrm>
          <a:prstGeom prst="rect">
            <a:avLst/>
          </a:prstGeom>
        </xdr:spPr>
      </xdr:pic>
      <xdr:sp macro="[0]!CleanedRawToAngSet" textlink="">
        <xdr:nvSpPr>
          <xdr:cNvPr id="12" name="TextBox 11"/>
          <xdr:cNvSpPr txBox="1"/>
        </xdr:nvSpPr>
        <xdr:spPr>
          <a:xfrm>
            <a:off x="14142244" y="1688311"/>
            <a:ext cx="126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0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ANGLE-SET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171450</xdr:colOff>
          <xdr:row>11</xdr:row>
          <xdr:rowOff>38100</xdr:rowOff>
        </xdr:from>
        <xdr:to>
          <xdr:col>25</xdr:col>
          <xdr:colOff>371475</xdr:colOff>
          <xdr:row>11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3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25</xdr:col>
      <xdr:colOff>47626</xdr:colOff>
      <xdr:row>2</xdr:row>
      <xdr:rowOff>396875</xdr:rowOff>
    </xdr:from>
    <xdr:to>
      <xdr:col>27</xdr:col>
      <xdr:colOff>561025</xdr:colOff>
      <xdr:row>5</xdr:row>
      <xdr:rowOff>79875</xdr:rowOff>
    </xdr:to>
    <xdr:grpSp>
      <xdr:nvGrpSpPr>
        <xdr:cNvPr id="6" name="Group 5"/>
        <xdr:cNvGrpSpPr/>
      </xdr:nvGrpSpPr>
      <xdr:grpSpPr>
        <a:xfrm>
          <a:off x="26066751" y="1031875"/>
          <a:ext cx="3942399" cy="1080000"/>
          <a:chOff x="28082876" y="984250"/>
          <a:chExt cx="3942399" cy="1080000"/>
        </a:xfrm>
      </xdr:grpSpPr>
      <xdr:pic macro="[0]!CloseTraverseComp"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82876" y="984250"/>
            <a:ext cx="1265455" cy="1080000"/>
          </a:xfrm>
          <a:prstGeom prst="rect">
            <a:avLst/>
          </a:prstGeom>
        </xdr:spPr>
      </xdr:pic>
      <xdr:sp macro="[0]!CloseTraverseComp" textlink="">
        <xdr:nvSpPr>
          <xdr:cNvPr id="5" name="TextBox 4"/>
          <xdr:cNvSpPr txBox="1"/>
        </xdr:nvSpPr>
        <xdr:spPr>
          <a:xfrm>
            <a:off x="29505275" y="1422400"/>
            <a:ext cx="25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TRAVERSE</a:t>
            </a:r>
          </a:p>
        </xdr:txBody>
      </xdr:sp>
    </xdr:grpSp>
    <xdr:clientData/>
  </xdr:twoCellAnchor>
  <xdr:twoCellAnchor>
    <xdr:from>
      <xdr:col>25</xdr:col>
      <xdr:colOff>95250</xdr:colOff>
      <xdr:row>5</xdr:row>
      <xdr:rowOff>269875</xdr:rowOff>
    </xdr:from>
    <xdr:to>
      <xdr:col>27</xdr:col>
      <xdr:colOff>554675</xdr:colOff>
      <xdr:row>8</xdr:row>
      <xdr:rowOff>206875</xdr:rowOff>
    </xdr:to>
    <xdr:grpSp>
      <xdr:nvGrpSpPr>
        <xdr:cNvPr id="8" name="Group 7"/>
        <xdr:cNvGrpSpPr/>
      </xdr:nvGrpSpPr>
      <xdr:grpSpPr>
        <a:xfrm>
          <a:off x="26114375" y="2301875"/>
          <a:ext cx="3888425" cy="1080000"/>
          <a:chOff x="28130500" y="2254250"/>
          <a:chExt cx="3888425" cy="1080000"/>
        </a:xfrm>
      </xdr:grpSpPr>
      <xdr:pic macro="[0]!ClearCloseTrav"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130500" y="2254250"/>
            <a:ext cx="1124182" cy="1080000"/>
          </a:xfrm>
          <a:prstGeom prst="rect">
            <a:avLst/>
          </a:prstGeom>
        </xdr:spPr>
      </xdr:pic>
      <xdr:sp macro="[0]!ClearCloseTrav" textlink="">
        <xdr:nvSpPr>
          <xdr:cNvPr id="7" name="TextBox 6"/>
          <xdr:cNvSpPr txBox="1"/>
        </xdr:nvSpPr>
        <xdr:spPr>
          <a:xfrm>
            <a:off x="29498925" y="2654300"/>
            <a:ext cx="25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158750</xdr:colOff>
      <xdr:row>2</xdr:row>
      <xdr:rowOff>174625</xdr:rowOff>
    </xdr:from>
    <xdr:to>
      <xdr:col>25</xdr:col>
      <xdr:colOff>583250</xdr:colOff>
      <xdr:row>4</xdr:row>
      <xdr:rowOff>238625</xdr:rowOff>
    </xdr:to>
    <xdr:grpSp>
      <xdr:nvGrpSpPr>
        <xdr:cNvPr id="7" name="Group 6"/>
        <xdr:cNvGrpSpPr/>
      </xdr:nvGrpSpPr>
      <xdr:grpSpPr>
        <a:xfrm>
          <a:off x="23669625" y="809625"/>
          <a:ext cx="3853500" cy="1080000"/>
          <a:chOff x="25368250" y="1111250"/>
          <a:chExt cx="3853500" cy="1080000"/>
        </a:xfrm>
      </xdr:grpSpPr>
      <xdr:sp macro="[0]!OpenTraverseComp" textlink="">
        <xdr:nvSpPr>
          <xdr:cNvPr id="2" name="TextBox 1"/>
          <xdr:cNvSpPr txBox="1"/>
        </xdr:nvSpPr>
        <xdr:spPr>
          <a:xfrm>
            <a:off x="26701750" y="1524000"/>
            <a:ext cx="25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COMPUTE TRAVERSE</a:t>
            </a:r>
          </a:p>
        </xdr:txBody>
      </xdr:sp>
      <xdr:pic macro="[0]!OpenTraverseComp"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368250" y="1111250"/>
            <a:ext cx="1201690" cy="1080000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190500</xdr:colOff>
      <xdr:row>5</xdr:row>
      <xdr:rowOff>158750</xdr:rowOff>
    </xdr:from>
    <xdr:to>
      <xdr:col>25</xdr:col>
      <xdr:colOff>615000</xdr:colOff>
      <xdr:row>8</xdr:row>
      <xdr:rowOff>95750</xdr:rowOff>
    </xdr:to>
    <xdr:grpSp>
      <xdr:nvGrpSpPr>
        <xdr:cNvPr id="8" name="Group 7"/>
        <xdr:cNvGrpSpPr/>
      </xdr:nvGrpSpPr>
      <xdr:grpSpPr>
        <a:xfrm>
          <a:off x="23701375" y="2190750"/>
          <a:ext cx="3853500" cy="1080000"/>
          <a:chOff x="25400000" y="2492375"/>
          <a:chExt cx="3853500" cy="1080000"/>
        </a:xfrm>
      </xdr:grpSpPr>
      <xdr:pic macro="[0]!ClearOpenTrav"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400000" y="2492375"/>
            <a:ext cx="1124182" cy="1080000"/>
          </a:xfrm>
          <a:prstGeom prst="rect">
            <a:avLst/>
          </a:prstGeom>
        </xdr:spPr>
      </xdr:pic>
      <xdr:sp macro="[0]!ClearOpenTrav" textlink="">
        <xdr:nvSpPr>
          <xdr:cNvPr id="6" name="TextBox 5"/>
          <xdr:cNvSpPr txBox="1"/>
        </xdr:nvSpPr>
        <xdr:spPr>
          <a:xfrm>
            <a:off x="26733500" y="2857500"/>
            <a:ext cx="2520000" cy="36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587376</xdr:colOff>
      <xdr:row>0</xdr:row>
      <xdr:rowOff>508000</xdr:rowOff>
    </xdr:from>
    <xdr:to>
      <xdr:col>20</xdr:col>
      <xdr:colOff>22000</xdr:colOff>
      <xdr:row>3</xdr:row>
      <xdr:rowOff>191000</xdr:rowOff>
    </xdr:to>
    <xdr:grpSp>
      <xdr:nvGrpSpPr>
        <xdr:cNvPr id="12" name="Group 11"/>
        <xdr:cNvGrpSpPr/>
      </xdr:nvGrpSpPr>
      <xdr:grpSpPr>
        <a:xfrm>
          <a:off x="20764501" y="508000"/>
          <a:ext cx="3292249" cy="1080000"/>
          <a:chOff x="20113626" y="762000"/>
          <a:chExt cx="3292249" cy="1080000"/>
        </a:xfrm>
      </xdr:grpSpPr>
      <xdr:pic macro="[0]!AngSetToSumData"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113626" y="762000"/>
            <a:ext cx="1359594" cy="1080000"/>
          </a:xfrm>
          <a:prstGeom prst="rect">
            <a:avLst/>
          </a:prstGeom>
        </xdr:spPr>
      </xdr:pic>
      <xdr:sp macro="[0]!AngSetToSumData" textlink="">
        <xdr:nvSpPr>
          <xdr:cNvPr id="4" name="TextBox 3"/>
          <xdr:cNvSpPr txBox="1"/>
        </xdr:nvSpPr>
        <xdr:spPr>
          <a:xfrm>
            <a:off x="21605875" y="1095375"/>
            <a:ext cx="1800000" cy="54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GET ANGLE-SET</a:t>
            </a:r>
          </a:p>
        </xdr:txBody>
      </xdr:sp>
    </xdr:grpSp>
    <xdr:clientData/>
  </xdr:twoCellAnchor>
  <xdr:twoCellAnchor>
    <xdr:from>
      <xdr:col>16</xdr:col>
      <xdr:colOff>635001</xdr:colOff>
      <xdr:row>3</xdr:row>
      <xdr:rowOff>317500</xdr:rowOff>
    </xdr:from>
    <xdr:to>
      <xdr:col>20</xdr:col>
      <xdr:colOff>1032151</xdr:colOff>
      <xdr:row>6</xdr:row>
      <xdr:rowOff>254500</xdr:rowOff>
    </xdr:to>
    <xdr:grpSp>
      <xdr:nvGrpSpPr>
        <xdr:cNvPr id="13" name="Group 12"/>
        <xdr:cNvGrpSpPr/>
      </xdr:nvGrpSpPr>
      <xdr:grpSpPr>
        <a:xfrm>
          <a:off x="20812126" y="1714500"/>
          <a:ext cx="4254775" cy="1080000"/>
          <a:chOff x="20208875" y="1968500"/>
          <a:chExt cx="4254775" cy="1080000"/>
        </a:xfrm>
      </xdr:grpSpPr>
      <xdr:pic macro="[0]!SumDataToCloseTRAV"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208875" y="1968500"/>
            <a:ext cx="1315450" cy="1080000"/>
          </a:xfrm>
          <a:prstGeom prst="rect">
            <a:avLst/>
          </a:prstGeom>
        </xdr:spPr>
      </xdr:pic>
      <xdr:sp macro="[0]!SumDataToCloseTRAV" textlink="">
        <xdr:nvSpPr>
          <xdr:cNvPr id="6" name="TextBox 5"/>
          <xdr:cNvSpPr txBox="1"/>
        </xdr:nvSpPr>
        <xdr:spPr>
          <a:xfrm>
            <a:off x="21583650" y="2295525"/>
            <a:ext cx="2880000" cy="54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CLOSE TRAVERSE</a:t>
            </a:r>
          </a:p>
        </xdr:txBody>
      </xdr:sp>
    </xdr:grpSp>
    <xdr:clientData/>
  </xdr:twoCellAnchor>
  <xdr:twoCellAnchor>
    <xdr:from>
      <xdr:col>16</xdr:col>
      <xdr:colOff>730251</xdr:colOff>
      <xdr:row>6</xdr:row>
      <xdr:rowOff>365125</xdr:rowOff>
    </xdr:from>
    <xdr:to>
      <xdr:col>20</xdr:col>
      <xdr:colOff>1105175</xdr:colOff>
      <xdr:row>9</xdr:row>
      <xdr:rowOff>302125</xdr:rowOff>
    </xdr:to>
    <xdr:grpSp>
      <xdr:nvGrpSpPr>
        <xdr:cNvPr id="14" name="Group 13"/>
        <xdr:cNvGrpSpPr/>
      </xdr:nvGrpSpPr>
      <xdr:grpSpPr>
        <a:xfrm>
          <a:off x="20907376" y="2905125"/>
          <a:ext cx="4232549" cy="1080000"/>
          <a:chOff x="20272376" y="3159125"/>
          <a:chExt cx="4232549" cy="1080000"/>
        </a:xfrm>
      </xdr:grpSpPr>
      <xdr:pic macro="[0]!SumDataToOpenTRAV">
        <xdr:nvPicPr>
          <xdr:cNvPr id="7" name="Picture 6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272376" y="3159125"/>
            <a:ext cx="1428571" cy="1080000"/>
          </a:xfrm>
          <a:prstGeom prst="rect">
            <a:avLst/>
          </a:prstGeom>
        </xdr:spPr>
      </xdr:pic>
      <xdr:sp macro="[0]!SumDataToOpenTRAV" textlink="">
        <xdr:nvSpPr>
          <xdr:cNvPr id="8" name="TextBox 7"/>
          <xdr:cNvSpPr txBox="1"/>
        </xdr:nvSpPr>
        <xdr:spPr>
          <a:xfrm>
            <a:off x="21624925" y="3511550"/>
            <a:ext cx="2880000" cy="54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0000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TO OPEN TRAVERSE-3D</a:t>
            </a:r>
          </a:p>
        </xdr:txBody>
      </xdr:sp>
    </xdr:grpSp>
    <xdr:clientData/>
  </xdr:twoCellAnchor>
  <xdr:twoCellAnchor>
    <xdr:from>
      <xdr:col>16</xdr:col>
      <xdr:colOff>873126</xdr:colOff>
      <xdr:row>9</xdr:row>
      <xdr:rowOff>508000</xdr:rowOff>
    </xdr:from>
    <xdr:to>
      <xdr:col>20</xdr:col>
      <xdr:colOff>1102001</xdr:colOff>
      <xdr:row>12</xdr:row>
      <xdr:rowOff>191000</xdr:rowOff>
    </xdr:to>
    <xdr:grpSp>
      <xdr:nvGrpSpPr>
        <xdr:cNvPr id="15" name="Group 14"/>
        <xdr:cNvGrpSpPr/>
      </xdr:nvGrpSpPr>
      <xdr:grpSpPr>
        <a:xfrm>
          <a:off x="21050251" y="4191000"/>
          <a:ext cx="4086500" cy="1080000"/>
          <a:chOff x="20431125" y="4445000"/>
          <a:chExt cx="4086500" cy="1080000"/>
        </a:xfrm>
      </xdr:grpSpPr>
      <xdr:pic macro="[0]!ClearSumData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431125" y="4445000"/>
            <a:ext cx="1124182" cy="1080000"/>
          </a:xfrm>
          <a:prstGeom prst="rect">
            <a:avLst/>
          </a:prstGeom>
        </xdr:spPr>
      </xdr:pic>
      <xdr:sp macro="[0]!ClearSumData" textlink="">
        <xdr:nvSpPr>
          <xdr:cNvPr id="11" name="TextBox 10"/>
          <xdr:cNvSpPr txBox="1"/>
        </xdr:nvSpPr>
        <xdr:spPr>
          <a:xfrm>
            <a:off x="21637625" y="4778375"/>
            <a:ext cx="2880000" cy="5400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r>
              <a:rPr lang="en-GB" sz="1500" b="1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CLEAR DATA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</xdr:row>
          <xdr:rowOff>142875</xdr:rowOff>
        </xdr:from>
        <xdr:to>
          <xdr:col>27</xdr:col>
          <xdr:colOff>0</xdr:colOff>
          <xdr:row>4</xdr:row>
          <xdr:rowOff>28575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</xdr:row>
          <xdr:rowOff>142875</xdr:rowOff>
        </xdr:from>
        <xdr:to>
          <xdr:col>27</xdr:col>
          <xdr:colOff>0</xdr:colOff>
          <xdr:row>5</xdr:row>
          <xdr:rowOff>28575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6</xdr:row>
          <xdr:rowOff>142875</xdr:rowOff>
        </xdr:from>
        <xdr:to>
          <xdr:col>27</xdr:col>
          <xdr:colOff>0</xdr:colOff>
          <xdr:row>8</xdr:row>
          <xdr:rowOff>28575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7</xdr:row>
          <xdr:rowOff>142875</xdr:rowOff>
        </xdr:from>
        <xdr:to>
          <xdr:col>27</xdr:col>
          <xdr:colOff>0</xdr:colOff>
          <xdr:row>9</xdr:row>
          <xdr:rowOff>28575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10</xdr:row>
          <xdr:rowOff>142875</xdr:rowOff>
        </xdr:from>
        <xdr:to>
          <xdr:col>27</xdr:col>
          <xdr:colOff>0</xdr:colOff>
          <xdr:row>12</xdr:row>
          <xdr:rowOff>28575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11</xdr:row>
          <xdr:rowOff>142875</xdr:rowOff>
        </xdr:from>
        <xdr:to>
          <xdr:col>27</xdr:col>
          <xdr:colOff>0</xdr:colOff>
          <xdr:row>13</xdr:row>
          <xdr:rowOff>28575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14</xdr:row>
          <xdr:rowOff>142875</xdr:rowOff>
        </xdr:from>
        <xdr:to>
          <xdr:col>27</xdr:col>
          <xdr:colOff>0</xdr:colOff>
          <xdr:row>16</xdr:row>
          <xdr:rowOff>28575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15</xdr:row>
          <xdr:rowOff>142875</xdr:rowOff>
        </xdr:from>
        <xdr:to>
          <xdr:col>27</xdr:col>
          <xdr:colOff>0</xdr:colOff>
          <xdr:row>17</xdr:row>
          <xdr:rowOff>28575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6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22</xdr:row>
          <xdr:rowOff>142875</xdr:rowOff>
        </xdr:from>
        <xdr:to>
          <xdr:col>27</xdr:col>
          <xdr:colOff>0</xdr:colOff>
          <xdr:row>24</xdr:row>
          <xdr:rowOff>28575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6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23</xdr:row>
          <xdr:rowOff>142875</xdr:rowOff>
        </xdr:from>
        <xdr:to>
          <xdr:col>27</xdr:col>
          <xdr:colOff>0</xdr:colOff>
          <xdr:row>25</xdr:row>
          <xdr:rowOff>28575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6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26</xdr:row>
          <xdr:rowOff>142875</xdr:rowOff>
        </xdr:from>
        <xdr:to>
          <xdr:col>27</xdr:col>
          <xdr:colOff>0</xdr:colOff>
          <xdr:row>28</xdr:row>
          <xdr:rowOff>28575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6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27</xdr:row>
          <xdr:rowOff>142875</xdr:rowOff>
        </xdr:from>
        <xdr:to>
          <xdr:col>27</xdr:col>
          <xdr:colOff>0</xdr:colOff>
          <xdr:row>29</xdr:row>
          <xdr:rowOff>28575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6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30</xdr:row>
          <xdr:rowOff>142875</xdr:rowOff>
        </xdr:from>
        <xdr:to>
          <xdr:col>27</xdr:col>
          <xdr:colOff>0</xdr:colOff>
          <xdr:row>32</xdr:row>
          <xdr:rowOff>28575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6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31</xdr:row>
          <xdr:rowOff>142875</xdr:rowOff>
        </xdr:from>
        <xdr:to>
          <xdr:col>27</xdr:col>
          <xdr:colOff>0</xdr:colOff>
          <xdr:row>33</xdr:row>
          <xdr:rowOff>28575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6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34</xdr:row>
          <xdr:rowOff>142875</xdr:rowOff>
        </xdr:from>
        <xdr:to>
          <xdr:col>27</xdr:col>
          <xdr:colOff>0</xdr:colOff>
          <xdr:row>36</xdr:row>
          <xdr:rowOff>28575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  <a:ext uri="{FF2B5EF4-FFF2-40B4-BE49-F238E27FC236}">
                  <a16:creationId xmlns:a16="http://schemas.microsoft.com/office/drawing/2014/main" id="{00000000-0008-0000-0600-00000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304800</xdr:colOff>
          <xdr:row>35</xdr:row>
          <xdr:rowOff>142875</xdr:rowOff>
        </xdr:from>
        <xdr:to>
          <xdr:col>27</xdr:col>
          <xdr:colOff>0</xdr:colOff>
          <xdr:row>37</xdr:row>
          <xdr:rowOff>28575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6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42</xdr:row>
          <xdr:rowOff>0</xdr:rowOff>
        </xdr:from>
        <xdr:to>
          <xdr:col>27</xdr:col>
          <xdr:colOff>9525</xdr:colOff>
          <xdr:row>43</xdr:row>
          <xdr:rowOff>28575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6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43</xdr:row>
          <xdr:rowOff>0</xdr:rowOff>
        </xdr:from>
        <xdr:to>
          <xdr:col>27</xdr:col>
          <xdr:colOff>9525</xdr:colOff>
          <xdr:row>44</xdr:row>
          <xdr:rowOff>28575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00000000-0008-0000-0600-00001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46</xdr:row>
          <xdr:rowOff>0</xdr:rowOff>
        </xdr:from>
        <xdr:to>
          <xdr:col>27</xdr:col>
          <xdr:colOff>9525</xdr:colOff>
          <xdr:row>47</xdr:row>
          <xdr:rowOff>28575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  <a:ext uri="{FF2B5EF4-FFF2-40B4-BE49-F238E27FC236}">
                  <a16:creationId xmlns:a16="http://schemas.microsoft.com/office/drawing/2014/main" id="{00000000-0008-0000-0600-00001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47</xdr:row>
          <xdr:rowOff>0</xdr:rowOff>
        </xdr:from>
        <xdr:to>
          <xdr:col>27</xdr:col>
          <xdr:colOff>9525</xdr:colOff>
          <xdr:row>48</xdr:row>
          <xdr:rowOff>28575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  <a:ext uri="{FF2B5EF4-FFF2-40B4-BE49-F238E27FC236}">
                  <a16:creationId xmlns:a16="http://schemas.microsoft.com/office/drawing/2014/main" id="{00000000-0008-0000-0600-00001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50</xdr:row>
          <xdr:rowOff>0</xdr:rowOff>
        </xdr:from>
        <xdr:to>
          <xdr:col>27</xdr:col>
          <xdr:colOff>9525</xdr:colOff>
          <xdr:row>51</xdr:row>
          <xdr:rowOff>28575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00000000-0008-0000-0600-00001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51</xdr:row>
          <xdr:rowOff>0</xdr:rowOff>
        </xdr:from>
        <xdr:to>
          <xdr:col>27</xdr:col>
          <xdr:colOff>9525</xdr:colOff>
          <xdr:row>52</xdr:row>
          <xdr:rowOff>28575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6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54</xdr:row>
          <xdr:rowOff>0</xdr:rowOff>
        </xdr:from>
        <xdr:to>
          <xdr:col>27</xdr:col>
          <xdr:colOff>9525</xdr:colOff>
          <xdr:row>55</xdr:row>
          <xdr:rowOff>28575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6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314325</xdr:colOff>
          <xdr:row>55</xdr:row>
          <xdr:rowOff>0</xdr:rowOff>
        </xdr:from>
        <xdr:to>
          <xdr:col>27</xdr:col>
          <xdr:colOff>9525</xdr:colOff>
          <xdr:row>56</xdr:row>
          <xdr:rowOff>28575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  <a:ext uri="{FF2B5EF4-FFF2-40B4-BE49-F238E27FC236}">
                  <a16:creationId xmlns:a16="http://schemas.microsoft.com/office/drawing/2014/main" id="{00000000-0008-0000-0600-00001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</xdr:row>
          <xdr:rowOff>142875</xdr:rowOff>
        </xdr:from>
        <xdr:to>
          <xdr:col>31</xdr:col>
          <xdr:colOff>0</xdr:colOff>
          <xdr:row>5</xdr:row>
          <xdr:rowOff>28575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  <a:ext uri="{FF2B5EF4-FFF2-40B4-BE49-F238E27FC236}">
                  <a16:creationId xmlns:a16="http://schemas.microsoft.com/office/drawing/2014/main" id="{00000000-0008-0000-0600-00001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7</xdr:row>
          <xdr:rowOff>142875</xdr:rowOff>
        </xdr:from>
        <xdr:to>
          <xdr:col>31</xdr:col>
          <xdr:colOff>0</xdr:colOff>
          <xdr:row>9</xdr:row>
          <xdr:rowOff>28575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6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11</xdr:row>
          <xdr:rowOff>142875</xdr:rowOff>
        </xdr:from>
        <xdr:to>
          <xdr:col>31</xdr:col>
          <xdr:colOff>0</xdr:colOff>
          <xdr:row>13</xdr:row>
          <xdr:rowOff>28575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6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15</xdr:row>
          <xdr:rowOff>142875</xdr:rowOff>
        </xdr:from>
        <xdr:to>
          <xdr:col>31</xdr:col>
          <xdr:colOff>0</xdr:colOff>
          <xdr:row>17</xdr:row>
          <xdr:rowOff>28575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6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23</xdr:row>
          <xdr:rowOff>142875</xdr:rowOff>
        </xdr:from>
        <xdr:to>
          <xdr:col>31</xdr:col>
          <xdr:colOff>0</xdr:colOff>
          <xdr:row>25</xdr:row>
          <xdr:rowOff>28575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  <a:ext uri="{FF2B5EF4-FFF2-40B4-BE49-F238E27FC236}">
                  <a16:creationId xmlns:a16="http://schemas.microsoft.com/office/drawing/2014/main" id="{00000000-0008-0000-0600-00001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27</xdr:row>
          <xdr:rowOff>142875</xdr:rowOff>
        </xdr:from>
        <xdr:to>
          <xdr:col>31</xdr:col>
          <xdr:colOff>0</xdr:colOff>
          <xdr:row>29</xdr:row>
          <xdr:rowOff>28575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  <a:ext uri="{FF2B5EF4-FFF2-40B4-BE49-F238E27FC236}">
                  <a16:creationId xmlns:a16="http://schemas.microsoft.com/office/drawing/2014/main" id="{00000000-0008-0000-0600-00001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31</xdr:row>
          <xdr:rowOff>142875</xdr:rowOff>
        </xdr:from>
        <xdr:to>
          <xdr:col>31</xdr:col>
          <xdr:colOff>0</xdr:colOff>
          <xdr:row>33</xdr:row>
          <xdr:rowOff>28575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  <a:ext uri="{FF2B5EF4-FFF2-40B4-BE49-F238E27FC236}">
                  <a16:creationId xmlns:a16="http://schemas.microsoft.com/office/drawing/2014/main" id="{00000000-0008-0000-0600-00001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35</xdr:row>
          <xdr:rowOff>142875</xdr:rowOff>
        </xdr:from>
        <xdr:to>
          <xdr:col>31</xdr:col>
          <xdr:colOff>0</xdr:colOff>
          <xdr:row>37</xdr:row>
          <xdr:rowOff>28575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6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42</xdr:row>
          <xdr:rowOff>142875</xdr:rowOff>
        </xdr:from>
        <xdr:to>
          <xdr:col>31</xdr:col>
          <xdr:colOff>0</xdr:colOff>
          <xdr:row>44</xdr:row>
          <xdr:rowOff>28575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6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46</xdr:row>
          <xdr:rowOff>142875</xdr:rowOff>
        </xdr:from>
        <xdr:to>
          <xdr:col>31</xdr:col>
          <xdr:colOff>0</xdr:colOff>
          <xdr:row>48</xdr:row>
          <xdr:rowOff>28575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6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50</xdr:row>
          <xdr:rowOff>142875</xdr:rowOff>
        </xdr:from>
        <xdr:to>
          <xdr:col>31</xdr:col>
          <xdr:colOff>0</xdr:colOff>
          <xdr:row>52</xdr:row>
          <xdr:rowOff>28575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6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304800</xdr:colOff>
          <xdr:row>54</xdr:row>
          <xdr:rowOff>142875</xdr:rowOff>
        </xdr:from>
        <xdr:to>
          <xdr:col>31</xdr:col>
          <xdr:colOff>0</xdr:colOff>
          <xdr:row>56</xdr:row>
          <xdr:rowOff>28575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  <a:ext uri="{FF2B5EF4-FFF2-40B4-BE49-F238E27FC236}">
                  <a16:creationId xmlns:a16="http://schemas.microsoft.com/office/drawing/2014/main" id="{00000000-0008-0000-0600-00002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</xdr:row>
          <xdr:rowOff>142875</xdr:rowOff>
        </xdr:from>
        <xdr:to>
          <xdr:col>35</xdr:col>
          <xdr:colOff>0</xdr:colOff>
          <xdr:row>7</xdr:row>
          <xdr:rowOff>28575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6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13</xdr:row>
          <xdr:rowOff>142875</xdr:rowOff>
        </xdr:from>
        <xdr:to>
          <xdr:col>35</xdr:col>
          <xdr:colOff>0</xdr:colOff>
          <xdr:row>15</xdr:row>
          <xdr:rowOff>28575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  <a:ext uri="{FF2B5EF4-FFF2-40B4-BE49-F238E27FC236}">
                  <a16:creationId xmlns:a16="http://schemas.microsoft.com/office/drawing/2014/main" id="{00000000-0008-0000-0600-00002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33</xdr:row>
          <xdr:rowOff>142875</xdr:rowOff>
        </xdr:from>
        <xdr:to>
          <xdr:col>35</xdr:col>
          <xdr:colOff>0</xdr:colOff>
          <xdr:row>35</xdr:row>
          <xdr:rowOff>28575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  <a:ext uri="{FF2B5EF4-FFF2-40B4-BE49-F238E27FC236}">
                  <a16:creationId xmlns:a16="http://schemas.microsoft.com/office/drawing/2014/main" id="{00000000-0008-0000-0600-00002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52</xdr:row>
          <xdr:rowOff>142875</xdr:rowOff>
        </xdr:from>
        <xdr:to>
          <xdr:col>35</xdr:col>
          <xdr:colOff>0</xdr:colOff>
          <xdr:row>54</xdr:row>
          <xdr:rowOff>28575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  <a:ext uri="{FF2B5EF4-FFF2-40B4-BE49-F238E27FC236}">
                  <a16:creationId xmlns:a16="http://schemas.microsoft.com/office/drawing/2014/main" id="{00000000-0008-0000-0600-00002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44</xdr:row>
          <xdr:rowOff>142875</xdr:rowOff>
        </xdr:from>
        <xdr:to>
          <xdr:col>35</xdr:col>
          <xdr:colOff>0</xdr:colOff>
          <xdr:row>46</xdr:row>
          <xdr:rowOff>28575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  <a:ext uri="{FF2B5EF4-FFF2-40B4-BE49-F238E27FC236}">
                  <a16:creationId xmlns:a16="http://schemas.microsoft.com/office/drawing/2014/main" id="{00000000-0008-0000-0600-00002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304800</xdr:colOff>
          <xdr:row>25</xdr:row>
          <xdr:rowOff>142875</xdr:rowOff>
        </xdr:from>
        <xdr:to>
          <xdr:col>35</xdr:col>
          <xdr:colOff>0</xdr:colOff>
          <xdr:row>27</xdr:row>
          <xdr:rowOff>28575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  <a:ext uri="{FF2B5EF4-FFF2-40B4-BE49-F238E27FC236}">
                  <a16:creationId xmlns:a16="http://schemas.microsoft.com/office/drawing/2014/main" id="{00000000-0008-0000-0600-00002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9" Type="http://schemas.openxmlformats.org/officeDocument/2006/relationships/ctrlProp" Target="../ctrlProps/ctrlProp37.xml"/><Relationship Id="rId21" Type="http://schemas.openxmlformats.org/officeDocument/2006/relationships/ctrlProp" Target="../ctrlProps/ctrlProp19.xml"/><Relationship Id="rId34" Type="http://schemas.openxmlformats.org/officeDocument/2006/relationships/ctrlProp" Target="../ctrlProps/ctrlProp32.xml"/><Relationship Id="rId42" Type="http://schemas.openxmlformats.org/officeDocument/2006/relationships/ctrlProp" Target="../ctrlProps/ctrlProp40.x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4.xml"/><Relationship Id="rId29" Type="http://schemas.openxmlformats.org/officeDocument/2006/relationships/ctrlProp" Target="../ctrlProps/ctrlProp2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rgb="FF0000FF"/>
  </sheetPr>
  <dimension ref="A1:X325"/>
  <sheetViews>
    <sheetView showGridLines="0" tabSelected="1" zoomScale="80" zoomScaleNormal="80" workbookViewId="0">
      <selection activeCell="A3" sqref="A3"/>
    </sheetView>
  </sheetViews>
  <sheetFormatPr defaultColWidth="15.7109375" defaultRowHeight="15" customHeight="1"/>
  <cols>
    <col min="1" max="1" width="10.7109375" style="11" customWidth="1"/>
    <col min="2" max="2" width="20.7109375" style="11" customWidth="1"/>
    <col min="3" max="3" width="10.7109375" style="13" customWidth="1"/>
    <col min="4" max="4" width="20.7109375" style="11" customWidth="1"/>
    <col min="5" max="5" width="10.7109375" style="13" customWidth="1"/>
    <col min="6" max="6" width="15.7109375" style="12"/>
    <col min="7" max="7" width="15.7109375" style="13"/>
    <col min="8" max="8" width="15.7109375" style="12"/>
    <col min="9" max="9" width="15.7109375" style="13"/>
    <col min="10" max="10" width="15.7109375" style="11" customWidth="1"/>
    <col min="11" max="16384" width="15.7109375" style="11"/>
  </cols>
  <sheetData>
    <row r="1" spans="1:24" ht="24.95" customHeight="1">
      <c r="A1" s="1" t="s">
        <v>1</v>
      </c>
      <c r="B1" s="1" t="s">
        <v>2</v>
      </c>
      <c r="C1" s="1" t="s">
        <v>0</v>
      </c>
      <c r="D1" s="1" t="s">
        <v>3</v>
      </c>
      <c r="E1" s="1" t="s">
        <v>13</v>
      </c>
      <c r="F1" s="2" t="s">
        <v>8</v>
      </c>
      <c r="G1" s="3" t="s">
        <v>10</v>
      </c>
      <c r="H1" s="2" t="s">
        <v>9</v>
      </c>
      <c r="I1" s="3" t="s">
        <v>11</v>
      </c>
      <c r="J1" s="1" t="s">
        <v>14</v>
      </c>
      <c r="K1" s="1" t="s">
        <v>7</v>
      </c>
    </row>
    <row r="2" spans="1:24" ht="24.95" customHeight="1" thickBot="1">
      <c r="A2" s="9"/>
      <c r="B2" s="9"/>
      <c r="C2" s="9" t="s">
        <v>4</v>
      </c>
      <c r="D2" s="9"/>
      <c r="E2" s="9" t="s">
        <v>4</v>
      </c>
      <c r="F2" s="10" t="s">
        <v>5</v>
      </c>
      <c r="G2" s="9" t="s">
        <v>4</v>
      </c>
      <c r="H2" s="10" t="s">
        <v>5</v>
      </c>
      <c r="I2" s="9" t="s">
        <v>4</v>
      </c>
      <c r="J2" s="9" t="s">
        <v>6</v>
      </c>
      <c r="K2" s="9"/>
    </row>
    <row r="3" spans="1:24" ht="15" customHeight="1" thickTop="1">
      <c r="A3" s="4"/>
      <c r="B3" s="4"/>
      <c r="C3" s="5"/>
      <c r="D3" s="4"/>
      <c r="E3" s="5"/>
      <c r="F3" s="6"/>
      <c r="G3" s="5"/>
      <c r="H3" s="6"/>
      <c r="I3" s="5"/>
      <c r="J3" s="4"/>
      <c r="K3" s="4"/>
      <c r="O3" s="22" t="s">
        <v>23</v>
      </c>
    </row>
    <row r="4" spans="1:24" ht="15" customHeight="1">
      <c r="A4" s="4"/>
      <c r="B4" s="4"/>
      <c r="C4" s="5"/>
      <c r="D4" s="4"/>
      <c r="E4" s="5"/>
      <c r="F4" s="6"/>
      <c r="G4" s="5"/>
      <c r="H4" s="6"/>
      <c r="I4" s="5"/>
      <c r="J4" s="4"/>
      <c r="K4" s="4"/>
      <c r="O4" s="23" t="s">
        <v>24</v>
      </c>
    </row>
    <row r="5" spans="1:24" ht="15" customHeight="1">
      <c r="A5" s="4"/>
      <c r="B5" s="4"/>
      <c r="C5" s="5"/>
      <c r="D5" s="4"/>
      <c r="E5" s="5"/>
      <c r="F5" s="6"/>
      <c r="G5" s="5"/>
      <c r="H5" s="6"/>
      <c r="I5" s="5"/>
      <c r="J5" s="4"/>
      <c r="K5" s="4"/>
      <c r="O5" s="23" t="s">
        <v>25</v>
      </c>
    </row>
    <row r="6" spans="1:24" ht="15" customHeight="1">
      <c r="A6" s="4"/>
      <c r="B6" s="4"/>
      <c r="C6" s="5"/>
      <c r="D6" s="4"/>
      <c r="E6" s="5"/>
      <c r="F6" s="6"/>
      <c r="G6" s="5"/>
      <c r="H6" s="6"/>
      <c r="I6" s="5"/>
      <c r="J6" s="4"/>
      <c r="K6" s="4"/>
      <c r="O6" s="23" t="s">
        <v>26</v>
      </c>
    </row>
    <row r="7" spans="1:24" ht="15" customHeight="1">
      <c r="A7" s="4"/>
      <c r="B7" s="4"/>
      <c r="C7" s="5"/>
      <c r="D7" s="4"/>
      <c r="E7" s="5"/>
      <c r="F7" s="6"/>
      <c r="G7" s="5"/>
      <c r="H7" s="6"/>
      <c r="I7" s="5"/>
      <c r="J7" s="4"/>
      <c r="K7" s="4"/>
      <c r="O7" s="23" t="s">
        <v>27</v>
      </c>
    </row>
    <row r="8" spans="1:24" ht="15" customHeight="1">
      <c r="A8" s="4"/>
      <c r="B8" s="4"/>
      <c r="C8" s="5"/>
      <c r="D8" s="4"/>
      <c r="E8" s="5"/>
      <c r="F8" s="6"/>
      <c r="G8" s="5"/>
      <c r="H8" s="6"/>
      <c r="I8" s="5"/>
      <c r="J8" s="4"/>
      <c r="K8" s="4"/>
      <c r="O8" s="23" t="s">
        <v>28</v>
      </c>
      <c r="P8" s="4"/>
      <c r="Q8" s="4"/>
      <c r="R8" s="4"/>
      <c r="S8" s="4"/>
      <c r="T8" s="4"/>
      <c r="U8" s="4"/>
      <c r="V8" s="7"/>
      <c r="W8" s="8"/>
      <c r="X8" s="4"/>
    </row>
    <row r="9" spans="1:24" ht="15" customHeight="1">
      <c r="A9" s="4"/>
      <c r="B9" s="4"/>
      <c r="C9" s="5"/>
      <c r="D9" s="4"/>
      <c r="E9" s="5"/>
      <c r="F9" s="6"/>
      <c r="G9" s="5"/>
      <c r="H9" s="6"/>
      <c r="I9" s="5"/>
      <c r="J9" s="4"/>
      <c r="K9" s="4"/>
      <c r="O9" s="21"/>
      <c r="P9" s="4"/>
      <c r="Q9" s="4"/>
      <c r="R9" s="4"/>
      <c r="S9" s="4"/>
      <c r="T9" s="4"/>
      <c r="U9" s="4"/>
      <c r="V9" s="7"/>
      <c r="W9" s="8"/>
      <c r="X9" s="4"/>
    </row>
    <row r="10" spans="1:24" ht="15" customHeight="1">
      <c r="A10" s="4"/>
      <c r="B10" s="4"/>
      <c r="C10" s="5"/>
      <c r="D10" s="4"/>
      <c r="E10" s="5"/>
      <c r="F10" s="6"/>
      <c r="G10" s="5"/>
      <c r="H10" s="6"/>
      <c r="I10" s="5"/>
      <c r="J10" s="4"/>
      <c r="K10" s="4"/>
      <c r="P10" s="4"/>
      <c r="Q10" s="4"/>
      <c r="R10" s="4"/>
      <c r="S10" s="4"/>
      <c r="T10" s="4"/>
      <c r="U10" s="4"/>
      <c r="V10" s="7"/>
      <c r="W10" s="8"/>
      <c r="X10" s="4"/>
    </row>
    <row r="11" spans="1:24" ht="15" customHeight="1">
      <c r="A11" s="4"/>
      <c r="B11" s="4"/>
      <c r="C11" s="5"/>
      <c r="D11" s="4"/>
      <c r="E11" s="5"/>
      <c r="F11" s="6"/>
      <c r="G11" s="5"/>
      <c r="H11" s="6"/>
      <c r="I11" s="5"/>
      <c r="J11" s="4"/>
      <c r="K11" s="4"/>
      <c r="P11" s="4"/>
      <c r="Q11" s="4"/>
      <c r="R11" s="4"/>
      <c r="S11" s="4"/>
      <c r="T11" s="4"/>
      <c r="U11" s="4"/>
      <c r="V11" s="7"/>
      <c r="W11" s="8"/>
      <c r="X11" s="4"/>
    </row>
    <row r="12" spans="1:24" ht="15" customHeight="1">
      <c r="A12" s="4"/>
      <c r="B12" s="4"/>
      <c r="C12" s="5"/>
      <c r="D12" s="4"/>
      <c r="E12" s="5"/>
      <c r="F12" s="6"/>
      <c r="G12" s="5"/>
      <c r="H12" s="6"/>
      <c r="I12" s="5"/>
      <c r="J12" s="4"/>
      <c r="K12" s="4"/>
      <c r="P12" s="4"/>
      <c r="Q12" s="4"/>
      <c r="R12" s="4"/>
      <c r="S12" s="4"/>
      <c r="T12" s="4"/>
      <c r="U12" s="4"/>
      <c r="V12" s="7"/>
      <c r="W12" s="8"/>
      <c r="X12" s="4"/>
    </row>
    <row r="13" spans="1:24" ht="15" customHeight="1">
      <c r="A13" s="4"/>
      <c r="B13" s="4"/>
      <c r="C13" s="5"/>
      <c r="D13" s="4"/>
      <c r="E13" s="5"/>
      <c r="F13" s="6"/>
      <c r="G13" s="5"/>
      <c r="H13" s="6"/>
      <c r="I13" s="5"/>
      <c r="J13" s="4"/>
      <c r="K13" s="4"/>
      <c r="P13" s="4"/>
      <c r="Q13" s="4"/>
      <c r="R13" s="4"/>
      <c r="S13" s="4"/>
      <c r="T13" s="4"/>
      <c r="U13" s="4"/>
      <c r="V13" s="7"/>
      <c r="W13" s="8"/>
      <c r="X13" s="4"/>
    </row>
    <row r="14" spans="1:24" ht="15" customHeight="1">
      <c r="A14" s="4"/>
      <c r="B14" s="4"/>
      <c r="C14" s="5"/>
      <c r="D14" s="4"/>
      <c r="E14" s="5"/>
      <c r="F14" s="6"/>
      <c r="G14" s="5"/>
      <c r="H14" s="6"/>
      <c r="I14" s="5"/>
      <c r="J14" s="4"/>
      <c r="K14" s="4"/>
      <c r="O14" s="4"/>
      <c r="P14" s="4"/>
      <c r="Q14" s="4"/>
      <c r="R14" s="4"/>
      <c r="S14" s="4"/>
      <c r="T14" s="4"/>
      <c r="U14" s="4"/>
      <c r="V14" s="7"/>
      <c r="W14" s="8"/>
      <c r="X14" s="4"/>
    </row>
    <row r="15" spans="1:24" ht="15" customHeight="1">
      <c r="A15" s="4"/>
      <c r="B15" s="4"/>
      <c r="C15" s="5"/>
      <c r="D15" s="4"/>
      <c r="E15" s="5"/>
      <c r="F15" s="6"/>
      <c r="G15" s="5"/>
      <c r="H15" s="6"/>
      <c r="I15" s="5"/>
      <c r="J15" s="4"/>
      <c r="K15" s="4"/>
      <c r="O15" s="4"/>
      <c r="P15" s="4"/>
      <c r="Q15" s="4"/>
      <c r="R15" s="4"/>
      <c r="S15" s="4"/>
      <c r="T15" s="4"/>
      <c r="U15" s="4"/>
      <c r="V15" s="7"/>
      <c r="W15" s="8"/>
      <c r="X15" s="4"/>
    </row>
    <row r="16" spans="1:24" ht="15" customHeight="1">
      <c r="A16" s="4"/>
      <c r="B16" s="4"/>
      <c r="C16" s="5"/>
      <c r="D16" s="4"/>
      <c r="E16" s="5"/>
      <c r="F16" s="6"/>
      <c r="G16" s="5"/>
      <c r="H16" s="6"/>
      <c r="I16" s="5"/>
      <c r="J16" s="4"/>
      <c r="K16" s="4"/>
      <c r="O16" s="4"/>
      <c r="P16" s="4"/>
      <c r="Q16" s="4"/>
      <c r="R16" s="4"/>
      <c r="S16" s="4"/>
      <c r="T16" s="4"/>
      <c r="U16" s="4"/>
      <c r="V16" s="7"/>
      <c r="W16" s="8"/>
      <c r="X16" s="4"/>
    </row>
    <row r="17" spans="1:24" ht="15" customHeight="1">
      <c r="A17" s="4"/>
      <c r="B17" s="4"/>
      <c r="C17" s="5"/>
      <c r="D17" s="4"/>
      <c r="E17" s="5"/>
      <c r="F17" s="6"/>
      <c r="G17" s="5"/>
      <c r="H17" s="6"/>
      <c r="I17" s="5"/>
      <c r="J17" s="4"/>
      <c r="K17" s="4"/>
      <c r="O17" s="4"/>
      <c r="P17" s="4"/>
      <c r="Q17" s="4"/>
      <c r="R17" s="4"/>
      <c r="S17" s="4"/>
      <c r="T17" s="4"/>
      <c r="U17" s="4"/>
      <c r="V17" s="7"/>
      <c r="W17" s="8"/>
      <c r="X17" s="4"/>
    </row>
    <row r="18" spans="1:24" ht="15" customHeight="1">
      <c r="A18" s="4"/>
      <c r="B18" s="4"/>
      <c r="C18" s="5"/>
      <c r="D18" s="4"/>
      <c r="E18" s="5"/>
      <c r="F18" s="6"/>
      <c r="G18" s="5"/>
      <c r="H18" s="6"/>
      <c r="I18" s="5"/>
      <c r="J18" s="4"/>
      <c r="K18" s="4"/>
      <c r="O18" s="4"/>
      <c r="P18" s="4"/>
      <c r="Q18" s="4"/>
      <c r="R18" s="4"/>
      <c r="S18" s="4"/>
      <c r="T18" s="4"/>
      <c r="U18" s="4"/>
      <c r="V18" s="7"/>
      <c r="W18" s="8"/>
      <c r="X18" s="4"/>
    </row>
    <row r="19" spans="1:24" ht="15" customHeight="1">
      <c r="A19" s="4"/>
      <c r="B19" s="4"/>
      <c r="C19" s="5"/>
      <c r="D19" s="4"/>
      <c r="E19" s="5"/>
      <c r="F19" s="6"/>
      <c r="G19" s="5"/>
      <c r="H19" s="6"/>
      <c r="I19" s="5"/>
      <c r="J19" s="4"/>
      <c r="K19" s="4"/>
      <c r="O19" s="4"/>
      <c r="P19" s="4"/>
      <c r="Q19" s="4"/>
      <c r="R19" s="4"/>
      <c r="S19" s="4"/>
      <c r="T19" s="4"/>
      <c r="U19" s="4"/>
      <c r="V19" s="7"/>
      <c r="W19" s="8"/>
      <c r="X19" s="4"/>
    </row>
    <row r="20" spans="1:24" ht="15" customHeight="1">
      <c r="A20" s="4"/>
      <c r="B20" s="4"/>
      <c r="C20" s="5"/>
      <c r="D20" s="4"/>
      <c r="E20" s="5"/>
      <c r="F20" s="6"/>
      <c r="G20" s="5"/>
      <c r="H20" s="6"/>
      <c r="I20" s="5"/>
      <c r="J20" s="4"/>
      <c r="K20" s="4"/>
      <c r="O20" s="4"/>
      <c r="P20" s="4"/>
      <c r="Q20" s="4"/>
      <c r="R20" s="4"/>
      <c r="S20" s="4"/>
      <c r="T20" s="4"/>
      <c r="U20" s="4"/>
      <c r="V20" s="7"/>
      <c r="W20" s="8"/>
      <c r="X20" s="4"/>
    </row>
    <row r="21" spans="1:24" ht="15" customHeight="1">
      <c r="A21" s="4"/>
      <c r="B21" s="4"/>
      <c r="C21" s="5"/>
      <c r="D21" s="4"/>
      <c r="E21" s="5"/>
      <c r="F21" s="6"/>
      <c r="G21" s="5"/>
      <c r="H21" s="6"/>
      <c r="I21" s="5"/>
      <c r="J21" s="4"/>
      <c r="K21" s="4"/>
      <c r="O21" s="4"/>
      <c r="P21" s="4"/>
      <c r="Q21" s="4"/>
      <c r="R21" s="4"/>
      <c r="S21" s="4"/>
      <c r="T21" s="4"/>
      <c r="U21" s="4"/>
      <c r="V21" s="7"/>
      <c r="W21" s="8"/>
      <c r="X21" s="4"/>
    </row>
    <row r="22" spans="1:24" ht="15" customHeight="1">
      <c r="A22" s="4"/>
      <c r="B22" s="4"/>
      <c r="C22" s="5"/>
      <c r="D22" s="4"/>
      <c r="E22" s="5"/>
      <c r="F22" s="6"/>
      <c r="G22" s="5"/>
      <c r="H22" s="6"/>
      <c r="I22" s="5"/>
      <c r="J22" s="4"/>
      <c r="K22" s="4"/>
      <c r="O22" s="4"/>
      <c r="P22" s="4"/>
      <c r="Q22" s="4"/>
      <c r="R22" s="4"/>
      <c r="S22" s="4"/>
      <c r="T22" s="4"/>
      <c r="U22" s="4"/>
      <c r="V22" s="7"/>
      <c r="W22" s="8"/>
      <c r="X22" s="4"/>
    </row>
    <row r="23" spans="1:24" ht="15" customHeight="1">
      <c r="A23" s="4"/>
      <c r="B23" s="4"/>
      <c r="C23" s="5"/>
      <c r="D23" s="4"/>
      <c r="E23" s="5"/>
      <c r="F23" s="6"/>
      <c r="G23" s="5"/>
      <c r="H23" s="6"/>
      <c r="I23" s="5"/>
      <c r="J23" s="4"/>
      <c r="K23" s="4"/>
      <c r="N23" s="4"/>
      <c r="O23" s="4"/>
      <c r="P23" s="4"/>
      <c r="Q23" s="4"/>
      <c r="R23" s="4"/>
      <c r="S23" s="4"/>
      <c r="T23" s="4"/>
      <c r="U23" s="4"/>
      <c r="V23" s="7"/>
      <c r="W23" s="8"/>
      <c r="X23" s="4"/>
    </row>
    <row r="24" spans="1:24" ht="15" customHeight="1">
      <c r="A24" s="4"/>
      <c r="B24" s="4"/>
      <c r="C24" s="5"/>
      <c r="D24" s="4"/>
      <c r="E24" s="5"/>
      <c r="F24" s="6"/>
      <c r="G24" s="5"/>
      <c r="H24" s="6"/>
      <c r="I24" s="5"/>
      <c r="J24" s="4"/>
      <c r="K24" s="4"/>
      <c r="N24" s="4"/>
      <c r="O24" s="4"/>
      <c r="P24" s="4"/>
      <c r="Q24" s="4"/>
      <c r="R24" s="4"/>
      <c r="S24" s="4"/>
      <c r="T24" s="4"/>
      <c r="U24" s="4"/>
      <c r="V24" s="7"/>
      <c r="W24" s="8"/>
      <c r="X24" s="4"/>
    </row>
    <row r="25" spans="1:24" ht="15" customHeight="1">
      <c r="A25" s="4"/>
      <c r="B25" s="4"/>
      <c r="C25" s="5"/>
      <c r="D25" s="4"/>
      <c r="E25" s="5"/>
      <c r="F25" s="6"/>
      <c r="G25" s="5"/>
      <c r="H25" s="6"/>
      <c r="I25" s="5"/>
      <c r="J25" s="4"/>
      <c r="K25" s="4"/>
      <c r="N25" s="4"/>
      <c r="O25" s="4"/>
      <c r="P25" s="4"/>
      <c r="Q25" s="4"/>
      <c r="R25" s="4"/>
      <c r="S25" s="4"/>
      <c r="T25" s="4"/>
      <c r="U25" s="4"/>
      <c r="V25" s="7"/>
      <c r="W25" s="8"/>
      <c r="X25" s="4"/>
    </row>
    <row r="26" spans="1:24" ht="15" customHeight="1">
      <c r="A26" s="4"/>
      <c r="B26" s="4"/>
      <c r="C26" s="5"/>
      <c r="D26" s="4"/>
      <c r="E26" s="5"/>
      <c r="F26" s="6"/>
      <c r="G26" s="5"/>
      <c r="H26" s="6"/>
      <c r="I26" s="5"/>
      <c r="J26" s="4"/>
      <c r="K26" s="4"/>
      <c r="N26" s="4"/>
      <c r="O26" s="4"/>
      <c r="P26" s="4"/>
      <c r="Q26" s="4"/>
      <c r="R26" s="4"/>
      <c r="S26" s="4"/>
      <c r="T26" s="4"/>
      <c r="U26" s="4"/>
      <c r="V26" s="7"/>
      <c r="W26" s="8"/>
      <c r="X26" s="4"/>
    </row>
    <row r="27" spans="1:24" ht="15" customHeight="1">
      <c r="A27" s="4"/>
      <c r="B27" s="4"/>
      <c r="C27" s="5"/>
      <c r="D27" s="4"/>
      <c r="E27" s="5"/>
      <c r="F27" s="6"/>
      <c r="G27" s="5"/>
      <c r="H27" s="6"/>
      <c r="I27" s="5"/>
      <c r="J27" s="4"/>
      <c r="K27" s="4"/>
      <c r="N27" s="4"/>
      <c r="O27" s="4"/>
      <c r="P27" s="4"/>
      <c r="Q27" s="4"/>
      <c r="R27" s="4"/>
      <c r="S27" s="4"/>
      <c r="T27" s="4"/>
      <c r="U27" s="4"/>
      <c r="V27" s="7"/>
      <c r="W27" s="8"/>
      <c r="X27" s="4"/>
    </row>
    <row r="28" spans="1:24" ht="15" customHeight="1">
      <c r="A28" s="4"/>
      <c r="B28" s="4"/>
      <c r="C28" s="5"/>
      <c r="D28" s="4"/>
      <c r="E28" s="5"/>
      <c r="F28" s="6"/>
      <c r="G28" s="5"/>
      <c r="H28" s="6"/>
      <c r="I28" s="5"/>
      <c r="J28" s="4"/>
      <c r="K28" s="4"/>
      <c r="N28" s="4"/>
      <c r="O28" s="4"/>
      <c r="P28" s="4"/>
      <c r="Q28" s="4"/>
      <c r="R28" s="4"/>
      <c r="S28" s="4"/>
      <c r="T28" s="4"/>
      <c r="U28" s="4"/>
      <c r="V28" s="7"/>
      <c r="W28" s="8"/>
      <c r="X28" s="4"/>
    </row>
    <row r="29" spans="1:24" ht="15" customHeight="1">
      <c r="A29" s="4"/>
      <c r="B29" s="4"/>
      <c r="C29" s="5"/>
      <c r="D29" s="4"/>
      <c r="E29" s="5"/>
      <c r="F29" s="6"/>
      <c r="G29" s="5"/>
      <c r="H29" s="6"/>
      <c r="I29" s="5"/>
      <c r="J29" s="4"/>
      <c r="K29" s="4"/>
      <c r="N29" s="4"/>
      <c r="O29" s="4"/>
      <c r="P29" s="4"/>
      <c r="Q29" s="4"/>
      <c r="R29" s="4"/>
      <c r="S29" s="4"/>
      <c r="T29" s="4"/>
      <c r="U29" s="4"/>
      <c r="V29" s="7"/>
      <c r="W29" s="8"/>
      <c r="X29" s="4"/>
    </row>
    <row r="30" spans="1:24" ht="15" customHeight="1">
      <c r="A30" s="4"/>
      <c r="B30" s="4"/>
      <c r="C30" s="5"/>
      <c r="D30" s="4"/>
      <c r="E30" s="5"/>
      <c r="F30" s="6"/>
      <c r="G30" s="5"/>
      <c r="H30" s="6"/>
      <c r="I30" s="5"/>
      <c r="J30" s="4"/>
      <c r="K30" s="4"/>
      <c r="N30" s="4"/>
      <c r="O30" s="4"/>
      <c r="P30" s="4"/>
      <c r="Q30" s="4"/>
      <c r="R30" s="4"/>
      <c r="S30" s="4"/>
      <c r="T30" s="4"/>
      <c r="U30" s="4"/>
      <c r="V30" s="7"/>
      <c r="W30" s="8"/>
      <c r="X30" s="4"/>
    </row>
    <row r="31" spans="1:24" ht="15" customHeight="1">
      <c r="A31" s="4"/>
      <c r="B31" s="4"/>
      <c r="C31" s="5"/>
      <c r="D31" s="4"/>
      <c r="E31" s="5"/>
      <c r="F31" s="6"/>
      <c r="G31" s="5"/>
      <c r="H31" s="6"/>
      <c r="I31" s="5"/>
      <c r="J31" s="4"/>
      <c r="K31" s="4"/>
      <c r="N31" s="4"/>
      <c r="O31" s="4"/>
      <c r="P31" s="4"/>
      <c r="Q31" s="4"/>
      <c r="R31" s="4"/>
      <c r="S31" s="4"/>
      <c r="T31" s="4"/>
      <c r="U31" s="4"/>
      <c r="V31" s="7"/>
      <c r="W31" s="8"/>
      <c r="X31" s="4"/>
    </row>
    <row r="32" spans="1:24" ht="15" customHeight="1">
      <c r="A32" s="4"/>
      <c r="B32" s="4"/>
      <c r="C32" s="5"/>
      <c r="D32" s="4"/>
      <c r="E32" s="5"/>
      <c r="F32" s="6"/>
      <c r="G32" s="5"/>
      <c r="H32" s="6"/>
      <c r="I32" s="5"/>
      <c r="J32" s="4"/>
      <c r="K32" s="4"/>
      <c r="N32" s="4"/>
      <c r="O32" s="4"/>
      <c r="P32" s="4"/>
      <c r="Q32" s="4"/>
      <c r="R32" s="4"/>
      <c r="S32" s="4"/>
      <c r="T32" s="4"/>
      <c r="U32" s="4"/>
      <c r="V32" s="7"/>
      <c r="W32" s="8"/>
      <c r="X32" s="4"/>
    </row>
    <row r="33" spans="1:24" ht="15" customHeight="1">
      <c r="A33" s="4"/>
      <c r="B33" s="4"/>
      <c r="C33" s="5"/>
      <c r="D33" s="4"/>
      <c r="E33" s="5"/>
      <c r="F33" s="6"/>
      <c r="G33" s="5"/>
      <c r="H33" s="6"/>
      <c r="I33" s="5"/>
      <c r="J33" s="4"/>
      <c r="K33" s="4"/>
      <c r="N33" s="4"/>
      <c r="O33" s="4"/>
      <c r="P33" s="4"/>
      <c r="Q33" s="4"/>
      <c r="R33" s="4"/>
      <c r="S33" s="4"/>
      <c r="T33" s="4"/>
      <c r="U33" s="4"/>
      <c r="V33" s="7"/>
      <c r="W33" s="8"/>
      <c r="X33" s="4"/>
    </row>
    <row r="34" spans="1:24" ht="15" customHeight="1">
      <c r="A34" s="4"/>
      <c r="B34" s="4"/>
      <c r="C34" s="5"/>
      <c r="D34" s="4"/>
      <c r="E34" s="5"/>
      <c r="F34" s="6"/>
      <c r="G34" s="5"/>
      <c r="H34" s="6"/>
      <c r="I34" s="5"/>
      <c r="J34" s="4"/>
      <c r="K34" s="4"/>
      <c r="N34" s="4"/>
      <c r="O34" s="4"/>
      <c r="P34" s="4"/>
      <c r="Q34" s="4"/>
      <c r="R34" s="4"/>
      <c r="S34" s="4"/>
      <c r="T34" s="4"/>
      <c r="U34" s="4"/>
      <c r="V34" s="7"/>
      <c r="W34" s="8"/>
      <c r="X34" s="4"/>
    </row>
    <row r="35" spans="1:24" ht="15" customHeight="1">
      <c r="A35" s="4"/>
      <c r="B35" s="4"/>
      <c r="C35" s="5"/>
      <c r="D35" s="4"/>
      <c r="E35" s="5"/>
      <c r="F35" s="6"/>
      <c r="G35" s="5"/>
      <c r="H35" s="6"/>
      <c r="I35" s="5"/>
      <c r="J35" s="4"/>
      <c r="K35" s="4"/>
      <c r="N35" s="4"/>
      <c r="O35" s="4"/>
      <c r="P35" s="4"/>
      <c r="Q35" s="4"/>
      <c r="R35" s="4"/>
      <c r="S35" s="4"/>
      <c r="T35" s="4"/>
      <c r="U35" s="4"/>
      <c r="V35" s="7"/>
      <c r="W35" s="8"/>
      <c r="X35" s="4"/>
    </row>
    <row r="36" spans="1:24" ht="15" customHeight="1">
      <c r="A36" s="4"/>
      <c r="B36" s="4"/>
      <c r="C36" s="5"/>
      <c r="D36" s="4"/>
      <c r="E36" s="5"/>
      <c r="F36" s="6"/>
      <c r="G36" s="5"/>
      <c r="H36" s="6"/>
      <c r="I36" s="5"/>
      <c r="J36" s="4"/>
      <c r="K36" s="4"/>
      <c r="N36" s="4"/>
      <c r="O36" s="4"/>
      <c r="P36" s="4"/>
      <c r="Q36" s="4"/>
      <c r="R36" s="4"/>
      <c r="S36" s="4"/>
      <c r="T36" s="4"/>
      <c r="U36" s="4"/>
      <c r="V36" s="7"/>
      <c r="W36" s="8"/>
      <c r="X36" s="4"/>
    </row>
    <row r="37" spans="1:24" ht="15" customHeight="1">
      <c r="A37" s="4"/>
      <c r="B37" s="4"/>
      <c r="C37" s="5"/>
      <c r="D37" s="4"/>
      <c r="E37" s="5"/>
      <c r="F37" s="6"/>
      <c r="G37" s="5"/>
      <c r="H37" s="6"/>
      <c r="I37" s="5"/>
      <c r="J37" s="4"/>
      <c r="K37" s="4"/>
      <c r="N37" s="4"/>
      <c r="O37" s="4"/>
      <c r="P37" s="4"/>
      <c r="Q37" s="4"/>
      <c r="R37" s="4"/>
      <c r="S37" s="4"/>
      <c r="T37" s="4"/>
      <c r="U37" s="4"/>
      <c r="V37" s="7"/>
      <c r="W37" s="8"/>
      <c r="X37" s="4"/>
    </row>
    <row r="38" spans="1:24" ht="15" customHeight="1">
      <c r="A38" s="4"/>
      <c r="B38" s="4"/>
      <c r="C38" s="5"/>
      <c r="D38" s="4"/>
      <c r="E38" s="5"/>
      <c r="F38" s="6"/>
      <c r="G38" s="5"/>
      <c r="H38" s="6"/>
      <c r="I38" s="5"/>
      <c r="J38" s="4"/>
      <c r="K38" s="4"/>
      <c r="N38" s="4"/>
      <c r="O38" s="4"/>
      <c r="P38" s="4"/>
      <c r="Q38" s="4"/>
      <c r="R38" s="4"/>
      <c r="S38" s="4"/>
      <c r="T38" s="4"/>
      <c r="U38" s="4"/>
      <c r="V38" s="7"/>
      <c r="W38" s="8"/>
      <c r="X38" s="4"/>
    </row>
    <row r="39" spans="1:24" ht="15" customHeight="1">
      <c r="A39" s="4"/>
      <c r="B39" s="4"/>
      <c r="C39" s="5"/>
      <c r="D39" s="4"/>
      <c r="E39" s="5"/>
      <c r="F39" s="6"/>
      <c r="G39" s="5"/>
      <c r="H39" s="6"/>
      <c r="I39" s="5"/>
      <c r="J39" s="4"/>
      <c r="K39" s="4"/>
      <c r="N39" s="4"/>
      <c r="O39" s="4"/>
      <c r="P39" s="4"/>
      <c r="Q39" s="4"/>
      <c r="R39" s="4"/>
      <c r="S39" s="4"/>
      <c r="T39" s="4"/>
      <c r="U39" s="4"/>
      <c r="V39" s="7"/>
      <c r="W39" s="8"/>
      <c r="X39" s="4"/>
    </row>
    <row r="40" spans="1:24" ht="15" customHeight="1">
      <c r="A40" s="4"/>
      <c r="B40" s="4"/>
      <c r="C40" s="5"/>
      <c r="D40" s="4"/>
      <c r="E40" s="5"/>
      <c r="F40" s="6"/>
      <c r="G40" s="5"/>
      <c r="H40" s="6"/>
      <c r="I40" s="5"/>
      <c r="J40" s="4"/>
      <c r="K40" s="4"/>
      <c r="N40" s="4"/>
      <c r="O40" s="4"/>
      <c r="P40" s="4"/>
      <c r="Q40" s="4"/>
      <c r="R40" s="4"/>
      <c r="S40" s="4"/>
      <c r="T40" s="4"/>
      <c r="U40" s="4"/>
      <c r="V40" s="7"/>
      <c r="W40" s="8"/>
      <c r="X40" s="4"/>
    </row>
    <row r="41" spans="1:24" ht="15" customHeight="1">
      <c r="A41" s="4"/>
      <c r="B41" s="4"/>
      <c r="C41" s="5"/>
      <c r="D41" s="4"/>
      <c r="E41" s="5"/>
      <c r="F41" s="6"/>
      <c r="G41" s="5"/>
      <c r="H41" s="6"/>
      <c r="I41" s="5"/>
      <c r="J41" s="4"/>
      <c r="K41" s="4"/>
      <c r="N41" s="4"/>
      <c r="O41" s="4"/>
      <c r="P41" s="4"/>
      <c r="Q41" s="4"/>
      <c r="R41" s="4"/>
      <c r="S41" s="4"/>
      <c r="T41" s="4"/>
      <c r="U41" s="4"/>
      <c r="V41" s="7"/>
      <c r="W41" s="8"/>
      <c r="X41" s="4"/>
    </row>
    <row r="42" spans="1:24" ht="15" customHeight="1">
      <c r="A42" s="4"/>
      <c r="B42" s="4"/>
      <c r="C42" s="5"/>
      <c r="D42" s="4"/>
      <c r="E42" s="5"/>
      <c r="F42" s="6"/>
      <c r="G42" s="5"/>
      <c r="H42" s="6"/>
      <c r="I42" s="5"/>
      <c r="J42" s="4"/>
      <c r="K42" s="4"/>
      <c r="N42" s="4"/>
      <c r="O42" s="4"/>
      <c r="P42" s="4"/>
      <c r="Q42" s="4"/>
      <c r="R42" s="4"/>
      <c r="S42" s="4"/>
      <c r="T42" s="4"/>
      <c r="U42" s="4"/>
      <c r="V42" s="7"/>
      <c r="W42" s="8"/>
      <c r="X42" s="4"/>
    </row>
    <row r="43" spans="1:24" ht="15" customHeight="1">
      <c r="A43" s="4"/>
      <c r="B43" s="4"/>
      <c r="C43" s="5"/>
      <c r="D43" s="4"/>
      <c r="E43" s="5"/>
      <c r="F43" s="6"/>
      <c r="G43" s="5"/>
      <c r="H43" s="6"/>
      <c r="I43" s="5"/>
      <c r="J43" s="4"/>
      <c r="K43" s="4"/>
      <c r="N43" s="4"/>
      <c r="O43" s="4"/>
      <c r="P43" s="4"/>
      <c r="Q43" s="4"/>
      <c r="R43" s="4"/>
      <c r="S43" s="4"/>
      <c r="T43" s="4"/>
      <c r="U43" s="4"/>
      <c r="V43" s="7"/>
      <c r="W43" s="8"/>
      <c r="X43" s="4"/>
    </row>
    <row r="44" spans="1:24" ht="15" customHeight="1">
      <c r="A44" s="4"/>
      <c r="B44" s="4"/>
      <c r="C44" s="5"/>
      <c r="D44" s="4"/>
      <c r="E44" s="5"/>
      <c r="F44" s="6"/>
      <c r="G44" s="5"/>
      <c r="H44" s="6"/>
      <c r="I44" s="5"/>
      <c r="J44" s="4"/>
      <c r="K44" s="4"/>
      <c r="N44" s="4"/>
      <c r="O44" s="4"/>
      <c r="P44" s="4"/>
      <c r="Q44" s="4"/>
      <c r="R44" s="4"/>
      <c r="S44" s="4"/>
      <c r="T44" s="4"/>
      <c r="U44" s="4"/>
      <c r="V44" s="7"/>
      <c r="W44" s="8"/>
      <c r="X44" s="4"/>
    </row>
    <row r="45" spans="1:24" ht="15" customHeight="1">
      <c r="A45" s="4"/>
      <c r="B45" s="4"/>
      <c r="C45" s="5"/>
      <c r="D45" s="4"/>
      <c r="E45" s="5"/>
      <c r="F45" s="6"/>
      <c r="G45" s="5"/>
      <c r="H45" s="6"/>
      <c r="I45" s="5"/>
      <c r="J45" s="4"/>
      <c r="K45" s="4"/>
      <c r="N45" s="4"/>
      <c r="O45" s="4"/>
      <c r="P45" s="4"/>
      <c r="Q45" s="4"/>
      <c r="R45" s="4"/>
      <c r="S45" s="4"/>
      <c r="T45" s="4"/>
      <c r="U45" s="4"/>
      <c r="V45" s="7"/>
      <c r="W45" s="8"/>
      <c r="X45" s="4"/>
    </row>
    <row r="46" spans="1:24" ht="15" customHeight="1">
      <c r="A46" s="4"/>
      <c r="B46" s="4"/>
      <c r="C46" s="5"/>
      <c r="D46" s="4"/>
      <c r="E46" s="5"/>
      <c r="F46" s="6"/>
      <c r="G46" s="5"/>
      <c r="H46" s="6"/>
      <c r="I46" s="5"/>
      <c r="J46" s="4"/>
      <c r="K46" s="4"/>
      <c r="N46" s="4"/>
      <c r="O46" s="4"/>
      <c r="P46" s="4"/>
      <c r="Q46" s="4"/>
      <c r="R46" s="4"/>
      <c r="S46" s="4"/>
      <c r="T46" s="4"/>
      <c r="U46" s="4"/>
      <c r="V46" s="7"/>
      <c r="W46" s="8"/>
      <c r="X46" s="4"/>
    </row>
    <row r="47" spans="1:24" ht="15" customHeight="1">
      <c r="A47" s="4"/>
      <c r="B47" s="4"/>
      <c r="C47" s="5"/>
      <c r="D47" s="4"/>
      <c r="E47" s="5"/>
      <c r="F47" s="6"/>
      <c r="G47" s="5"/>
      <c r="H47" s="6"/>
      <c r="I47" s="5"/>
      <c r="J47" s="4"/>
      <c r="K47" s="4"/>
      <c r="N47" s="4"/>
      <c r="O47" s="4"/>
      <c r="P47" s="4"/>
      <c r="Q47" s="4"/>
      <c r="R47" s="4"/>
      <c r="S47" s="4"/>
      <c r="T47" s="4"/>
      <c r="U47" s="4"/>
      <c r="V47" s="7"/>
      <c r="W47" s="8"/>
      <c r="X47" s="4"/>
    </row>
    <row r="48" spans="1:24" ht="15" customHeight="1">
      <c r="A48" s="4"/>
      <c r="B48" s="4"/>
      <c r="C48" s="5"/>
      <c r="D48" s="4"/>
      <c r="E48" s="5"/>
      <c r="F48" s="6"/>
      <c r="G48" s="5"/>
      <c r="H48" s="6"/>
      <c r="I48" s="5"/>
      <c r="J48" s="4"/>
      <c r="K48" s="4"/>
      <c r="N48" s="4"/>
      <c r="O48" s="4"/>
      <c r="P48" s="4"/>
      <c r="Q48" s="4"/>
      <c r="R48" s="4"/>
      <c r="S48" s="4"/>
      <c r="T48" s="4"/>
      <c r="U48" s="4"/>
      <c r="V48" s="7"/>
      <c r="W48" s="8"/>
      <c r="X48" s="4"/>
    </row>
    <row r="49" spans="1:24" ht="15" customHeight="1">
      <c r="A49" s="4"/>
      <c r="B49" s="4"/>
      <c r="C49" s="5"/>
      <c r="D49" s="4"/>
      <c r="E49" s="5"/>
      <c r="F49" s="6"/>
      <c r="G49" s="5"/>
      <c r="H49" s="6"/>
      <c r="I49" s="5"/>
      <c r="J49" s="4"/>
      <c r="K49" s="4"/>
      <c r="N49" s="4"/>
      <c r="O49" s="4"/>
      <c r="P49" s="4"/>
      <c r="Q49" s="4"/>
      <c r="R49" s="4"/>
      <c r="S49" s="4"/>
      <c r="T49" s="4"/>
      <c r="U49" s="4"/>
      <c r="V49" s="7"/>
      <c r="W49" s="8"/>
      <c r="X49" s="4"/>
    </row>
    <row r="50" spans="1:24" ht="15" customHeight="1">
      <c r="A50" s="4"/>
      <c r="B50" s="4"/>
      <c r="C50" s="5"/>
      <c r="D50" s="4"/>
      <c r="E50" s="5"/>
      <c r="F50" s="6"/>
      <c r="G50" s="5"/>
      <c r="H50" s="6"/>
      <c r="I50" s="5"/>
      <c r="J50" s="4"/>
      <c r="K50" s="4"/>
      <c r="N50" s="4"/>
      <c r="O50" s="4"/>
      <c r="P50" s="4"/>
      <c r="Q50" s="4"/>
      <c r="R50" s="4"/>
      <c r="S50" s="4"/>
      <c r="T50" s="4"/>
      <c r="U50" s="4"/>
      <c r="V50" s="7"/>
      <c r="W50" s="8"/>
      <c r="X50" s="4"/>
    </row>
    <row r="51" spans="1:24" ht="15" customHeight="1">
      <c r="A51" s="4"/>
      <c r="B51" s="4"/>
      <c r="C51" s="5"/>
      <c r="D51" s="4"/>
      <c r="E51" s="5"/>
      <c r="F51" s="6"/>
      <c r="G51" s="5"/>
      <c r="H51" s="6"/>
      <c r="I51" s="5"/>
      <c r="J51" s="4"/>
      <c r="K51" s="4"/>
      <c r="N51" s="4"/>
      <c r="O51" s="4"/>
      <c r="P51" s="4"/>
      <c r="Q51" s="4"/>
      <c r="R51" s="4"/>
      <c r="S51" s="4"/>
      <c r="T51" s="4"/>
      <c r="U51" s="4"/>
      <c r="V51" s="7"/>
      <c r="W51" s="8"/>
      <c r="X51" s="4"/>
    </row>
    <row r="52" spans="1:24" ht="15" customHeight="1">
      <c r="A52" s="4"/>
      <c r="B52" s="4"/>
      <c r="C52" s="5"/>
      <c r="D52" s="4"/>
      <c r="E52" s="5"/>
      <c r="F52" s="6"/>
      <c r="G52" s="5"/>
      <c r="H52" s="6"/>
      <c r="I52" s="5"/>
      <c r="J52" s="4"/>
      <c r="K52" s="4"/>
      <c r="N52" s="4"/>
      <c r="O52" s="4"/>
      <c r="P52" s="4"/>
      <c r="Q52" s="4"/>
      <c r="R52" s="4"/>
      <c r="S52" s="4"/>
      <c r="T52" s="4"/>
      <c r="U52" s="4"/>
      <c r="V52" s="7"/>
      <c r="W52" s="8"/>
      <c r="X52" s="4"/>
    </row>
    <row r="53" spans="1:24" ht="15" customHeight="1">
      <c r="A53" s="4"/>
      <c r="B53" s="4"/>
      <c r="C53" s="5"/>
      <c r="D53" s="4"/>
      <c r="E53" s="5"/>
      <c r="F53" s="6"/>
      <c r="G53" s="5"/>
      <c r="H53" s="6"/>
      <c r="I53" s="5"/>
      <c r="J53" s="4"/>
      <c r="K53" s="4"/>
      <c r="N53" s="4"/>
      <c r="O53" s="4"/>
      <c r="P53" s="4"/>
      <c r="Q53" s="4"/>
      <c r="R53" s="4"/>
      <c r="S53" s="4"/>
      <c r="T53" s="4"/>
      <c r="U53" s="4"/>
      <c r="V53" s="7"/>
      <c r="W53" s="8"/>
      <c r="X53" s="4"/>
    </row>
    <row r="54" spans="1:24" ht="15" customHeight="1">
      <c r="A54" s="4"/>
      <c r="B54" s="4"/>
      <c r="C54" s="5"/>
      <c r="D54" s="4"/>
      <c r="E54" s="5"/>
      <c r="F54" s="6"/>
      <c r="G54" s="5"/>
      <c r="H54" s="6"/>
      <c r="I54" s="5"/>
      <c r="J54" s="4"/>
      <c r="K54" s="4"/>
      <c r="N54" s="4"/>
      <c r="O54" s="4"/>
      <c r="P54" s="4"/>
      <c r="Q54" s="4"/>
      <c r="R54" s="4"/>
      <c r="S54" s="4"/>
      <c r="T54" s="4"/>
      <c r="U54" s="4"/>
      <c r="V54" s="7"/>
      <c r="W54" s="8"/>
      <c r="X54" s="4"/>
    </row>
    <row r="55" spans="1:24" ht="15" customHeight="1">
      <c r="A55" s="4"/>
      <c r="B55" s="4"/>
      <c r="C55" s="5"/>
      <c r="D55" s="4"/>
      <c r="E55" s="5"/>
      <c r="F55" s="6"/>
      <c r="G55" s="5"/>
      <c r="H55" s="6"/>
      <c r="I55" s="5"/>
      <c r="J55" s="4"/>
      <c r="K55" s="4"/>
      <c r="N55" s="4"/>
      <c r="O55" s="4"/>
      <c r="P55" s="4"/>
      <c r="Q55" s="4"/>
      <c r="R55" s="4"/>
      <c r="S55" s="4"/>
      <c r="T55" s="4"/>
      <c r="U55" s="4"/>
      <c r="V55" s="7"/>
      <c r="W55" s="8"/>
      <c r="X55" s="4"/>
    </row>
    <row r="56" spans="1:24" ht="15" customHeight="1">
      <c r="A56" s="4"/>
      <c r="B56" s="4"/>
      <c r="C56" s="5"/>
      <c r="D56" s="4"/>
      <c r="E56" s="5"/>
      <c r="F56" s="6"/>
      <c r="G56" s="5"/>
      <c r="H56" s="6"/>
      <c r="I56" s="5"/>
      <c r="J56" s="4"/>
      <c r="K56" s="4"/>
      <c r="N56" s="4"/>
      <c r="O56" s="4"/>
      <c r="P56" s="4"/>
      <c r="Q56" s="4"/>
      <c r="R56" s="4"/>
      <c r="S56" s="4"/>
      <c r="T56" s="4"/>
      <c r="U56" s="4"/>
      <c r="V56" s="7"/>
      <c r="W56" s="8"/>
      <c r="X56" s="4"/>
    </row>
    <row r="57" spans="1:24" ht="15" customHeight="1">
      <c r="A57" s="4"/>
      <c r="B57" s="4"/>
      <c r="C57" s="5"/>
      <c r="D57" s="4"/>
      <c r="E57" s="5"/>
      <c r="F57" s="6"/>
      <c r="G57" s="5"/>
      <c r="H57" s="6"/>
      <c r="I57" s="5"/>
      <c r="J57" s="4"/>
      <c r="K57" s="4"/>
      <c r="N57" s="4"/>
      <c r="O57" s="4"/>
      <c r="P57" s="4"/>
      <c r="Q57" s="4"/>
      <c r="R57" s="4"/>
      <c r="S57" s="4"/>
      <c r="T57" s="4"/>
      <c r="U57" s="4"/>
      <c r="V57" s="7"/>
      <c r="W57" s="8"/>
      <c r="X57" s="4"/>
    </row>
    <row r="58" spans="1:24" ht="15" customHeight="1">
      <c r="A58" s="4"/>
      <c r="B58" s="4"/>
      <c r="C58" s="5"/>
      <c r="D58" s="4"/>
      <c r="E58" s="5"/>
      <c r="F58" s="6"/>
      <c r="G58" s="5"/>
      <c r="H58" s="6"/>
      <c r="I58" s="5"/>
      <c r="J58" s="4"/>
      <c r="K58" s="4"/>
      <c r="N58" s="4"/>
      <c r="O58" s="4"/>
      <c r="P58" s="4"/>
      <c r="Q58" s="4"/>
      <c r="R58" s="4"/>
      <c r="S58" s="4"/>
      <c r="T58" s="4"/>
      <c r="U58" s="4"/>
      <c r="V58" s="7"/>
      <c r="W58" s="8"/>
      <c r="X58" s="4"/>
    </row>
    <row r="59" spans="1:24" ht="15" customHeight="1">
      <c r="A59" s="4"/>
      <c r="B59" s="4"/>
      <c r="C59" s="5"/>
      <c r="D59" s="4"/>
      <c r="E59" s="5"/>
      <c r="F59" s="6"/>
      <c r="G59" s="5"/>
      <c r="H59" s="6"/>
      <c r="I59" s="5"/>
      <c r="J59" s="4"/>
      <c r="K59" s="4"/>
      <c r="N59" s="4"/>
      <c r="O59" s="4"/>
      <c r="P59" s="4"/>
      <c r="Q59" s="4"/>
      <c r="R59" s="4"/>
      <c r="S59" s="4"/>
      <c r="T59" s="4"/>
      <c r="U59" s="4"/>
      <c r="V59" s="7"/>
      <c r="W59" s="8"/>
      <c r="X59" s="4"/>
    </row>
    <row r="60" spans="1:24" ht="15" customHeight="1">
      <c r="A60" s="4"/>
      <c r="B60" s="4"/>
      <c r="C60" s="5"/>
      <c r="D60" s="4"/>
      <c r="E60" s="5"/>
      <c r="F60" s="6"/>
      <c r="G60" s="5"/>
      <c r="H60" s="6"/>
      <c r="I60" s="5"/>
      <c r="J60" s="4"/>
      <c r="K60" s="4"/>
      <c r="N60" s="4"/>
      <c r="O60" s="4"/>
      <c r="P60" s="4"/>
      <c r="Q60" s="4"/>
      <c r="R60" s="4"/>
      <c r="S60" s="4"/>
      <c r="T60" s="4"/>
      <c r="U60" s="4"/>
      <c r="V60" s="7"/>
      <c r="W60" s="8"/>
      <c r="X60" s="4"/>
    </row>
    <row r="61" spans="1:24" ht="15" customHeight="1">
      <c r="A61" s="4"/>
      <c r="B61" s="4"/>
      <c r="C61" s="5"/>
      <c r="D61" s="4"/>
      <c r="E61" s="5"/>
      <c r="F61" s="6"/>
      <c r="G61" s="5"/>
      <c r="H61" s="6"/>
      <c r="I61" s="5"/>
      <c r="J61" s="4"/>
      <c r="K61" s="4"/>
      <c r="N61" s="4"/>
      <c r="O61" s="4"/>
      <c r="P61" s="4"/>
      <c r="Q61" s="4"/>
      <c r="R61" s="4"/>
      <c r="S61" s="4"/>
      <c r="T61" s="4"/>
      <c r="U61" s="4"/>
      <c r="V61" s="7"/>
      <c r="W61" s="8"/>
      <c r="X61" s="4"/>
    </row>
    <row r="62" spans="1:24" ht="15" customHeight="1">
      <c r="A62" s="4"/>
      <c r="B62" s="4"/>
      <c r="C62" s="5"/>
      <c r="D62" s="4"/>
      <c r="E62" s="5"/>
      <c r="F62" s="6"/>
      <c r="G62" s="5"/>
      <c r="H62" s="6"/>
      <c r="I62" s="5"/>
      <c r="J62" s="4"/>
      <c r="K62" s="4"/>
      <c r="N62" s="4"/>
      <c r="O62" s="4"/>
      <c r="P62" s="4"/>
      <c r="Q62" s="4"/>
      <c r="R62" s="4"/>
      <c r="S62" s="4"/>
      <c r="T62" s="4"/>
      <c r="U62" s="4"/>
      <c r="V62" s="7"/>
      <c r="W62" s="8"/>
      <c r="X62" s="4"/>
    </row>
    <row r="63" spans="1:24" ht="15" customHeight="1">
      <c r="A63" s="4"/>
      <c r="B63" s="4"/>
      <c r="C63" s="5"/>
      <c r="D63" s="4"/>
      <c r="E63" s="5"/>
      <c r="F63" s="6"/>
      <c r="G63" s="5"/>
      <c r="H63" s="6"/>
      <c r="I63" s="5"/>
      <c r="J63" s="4"/>
      <c r="K63" s="4"/>
      <c r="N63" s="4"/>
      <c r="O63" s="4"/>
      <c r="P63" s="4"/>
      <c r="Q63" s="4"/>
      <c r="R63" s="4"/>
      <c r="S63" s="4"/>
      <c r="T63" s="4"/>
      <c r="U63" s="4"/>
      <c r="V63" s="7"/>
      <c r="W63" s="8"/>
      <c r="X63" s="4"/>
    </row>
    <row r="64" spans="1:24" ht="15" customHeight="1">
      <c r="A64" s="4"/>
      <c r="B64" s="4"/>
      <c r="C64" s="5"/>
      <c r="D64" s="4"/>
      <c r="E64" s="5"/>
      <c r="F64" s="6"/>
      <c r="G64" s="5"/>
      <c r="H64" s="6"/>
      <c r="I64" s="5"/>
      <c r="J64" s="4"/>
      <c r="K64" s="4"/>
      <c r="N64" s="4"/>
      <c r="O64" s="4"/>
      <c r="P64" s="4"/>
      <c r="Q64" s="4"/>
      <c r="R64" s="4"/>
      <c r="S64" s="4"/>
      <c r="T64" s="4"/>
      <c r="U64" s="4"/>
      <c r="V64" s="7"/>
      <c r="W64" s="8"/>
      <c r="X64" s="4"/>
    </row>
    <row r="65" spans="1:24" ht="15" customHeight="1">
      <c r="A65" s="4"/>
      <c r="B65" s="4"/>
      <c r="C65" s="5"/>
      <c r="D65" s="4"/>
      <c r="E65" s="5"/>
      <c r="F65" s="6"/>
      <c r="G65" s="5"/>
      <c r="H65" s="6"/>
      <c r="I65" s="5"/>
      <c r="J65" s="4"/>
      <c r="K65" s="4"/>
      <c r="N65" s="4"/>
      <c r="O65" s="4"/>
      <c r="P65" s="4"/>
      <c r="Q65" s="4"/>
      <c r="R65" s="4"/>
      <c r="S65" s="4"/>
      <c r="T65" s="4"/>
      <c r="U65" s="4"/>
      <c r="V65" s="7"/>
      <c r="W65" s="8"/>
      <c r="X65" s="4"/>
    </row>
    <row r="66" spans="1:24" ht="15" customHeight="1">
      <c r="A66" s="4"/>
      <c r="B66" s="4"/>
      <c r="C66" s="5"/>
      <c r="D66" s="4"/>
      <c r="E66" s="5"/>
      <c r="F66" s="6"/>
      <c r="G66" s="5"/>
      <c r="H66" s="6"/>
      <c r="I66" s="5"/>
      <c r="J66" s="4"/>
      <c r="K66" s="4"/>
      <c r="N66" s="4"/>
      <c r="O66" s="4"/>
      <c r="P66" s="4"/>
      <c r="Q66" s="4"/>
      <c r="R66" s="4"/>
      <c r="S66" s="4"/>
      <c r="T66" s="4"/>
      <c r="U66" s="4"/>
      <c r="V66" s="7"/>
      <c r="W66" s="8"/>
      <c r="X66" s="4"/>
    </row>
    <row r="67" spans="1:24" ht="15" customHeight="1">
      <c r="A67" s="4"/>
      <c r="B67" s="4"/>
      <c r="C67" s="5"/>
      <c r="D67" s="4"/>
      <c r="E67" s="5"/>
      <c r="F67" s="6"/>
      <c r="G67" s="5"/>
      <c r="H67" s="6"/>
      <c r="I67" s="5"/>
      <c r="J67" s="4"/>
      <c r="K67" s="4"/>
      <c r="N67" s="4"/>
      <c r="O67" s="4"/>
      <c r="P67" s="4"/>
      <c r="Q67" s="4"/>
      <c r="R67" s="4"/>
      <c r="S67" s="4"/>
      <c r="T67" s="4"/>
      <c r="U67" s="4"/>
      <c r="V67" s="7"/>
      <c r="W67" s="8"/>
      <c r="X67" s="4"/>
    </row>
    <row r="68" spans="1:24" ht="15" customHeight="1">
      <c r="A68" s="4"/>
      <c r="B68" s="4"/>
      <c r="C68" s="5"/>
      <c r="D68" s="4"/>
      <c r="E68" s="5"/>
      <c r="F68" s="6"/>
      <c r="G68" s="5"/>
      <c r="H68" s="6"/>
      <c r="I68" s="5"/>
      <c r="J68" s="4"/>
      <c r="K68" s="4"/>
      <c r="N68" s="4"/>
      <c r="O68" s="4"/>
      <c r="P68" s="4"/>
      <c r="Q68" s="4"/>
      <c r="R68" s="4"/>
      <c r="S68" s="4"/>
      <c r="T68" s="4"/>
      <c r="U68" s="4"/>
      <c r="V68" s="7"/>
      <c r="W68" s="8"/>
      <c r="X68" s="4"/>
    </row>
    <row r="69" spans="1:24" ht="15" customHeight="1">
      <c r="A69" s="4"/>
      <c r="B69" s="4"/>
      <c r="C69" s="5"/>
      <c r="D69" s="4"/>
      <c r="E69" s="5"/>
      <c r="F69" s="6"/>
      <c r="G69" s="5"/>
      <c r="H69" s="6"/>
      <c r="I69" s="5"/>
      <c r="J69" s="4"/>
      <c r="K69" s="4"/>
      <c r="N69" s="4"/>
      <c r="O69" s="4"/>
      <c r="P69" s="4"/>
      <c r="Q69" s="4"/>
      <c r="R69" s="4"/>
      <c r="S69" s="4"/>
      <c r="T69" s="4"/>
      <c r="U69" s="4"/>
      <c r="V69" s="7"/>
      <c r="W69" s="8"/>
      <c r="X69" s="4"/>
    </row>
    <row r="70" spans="1:24" ht="15" customHeight="1">
      <c r="A70" s="4"/>
      <c r="B70" s="4"/>
      <c r="C70" s="5"/>
      <c r="D70" s="4"/>
      <c r="E70" s="5"/>
      <c r="F70" s="6"/>
      <c r="G70" s="5"/>
      <c r="H70" s="6"/>
      <c r="I70" s="5"/>
      <c r="J70" s="4"/>
      <c r="K70" s="4"/>
      <c r="N70" s="4"/>
      <c r="O70" s="4"/>
      <c r="P70" s="4"/>
      <c r="Q70" s="4"/>
      <c r="R70" s="4"/>
      <c r="S70" s="4"/>
      <c r="T70" s="4"/>
      <c r="U70" s="4"/>
      <c r="V70" s="7"/>
      <c r="W70" s="8"/>
      <c r="X70" s="4"/>
    </row>
    <row r="71" spans="1:24" ht="15" customHeight="1">
      <c r="A71" s="4"/>
      <c r="B71" s="4"/>
      <c r="C71" s="5"/>
      <c r="D71" s="4"/>
      <c r="E71" s="5"/>
      <c r="F71" s="6"/>
      <c r="G71" s="5"/>
      <c r="H71" s="6"/>
      <c r="I71" s="5"/>
      <c r="J71" s="4"/>
      <c r="K71" s="4"/>
      <c r="N71" s="4"/>
      <c r="O71" s="4"/>
      <c r="P71" s="4"/>
      <c r="Q71" s="4"/>
      <c r="R71" s="4"/>
      <c r="S71" s="4"/>
      <c r="T71" s="4"/>
      <c r="U71" s="4"/>
      <c r="V71" s="7"/>
      <c r="W71" s="8"/>
      <c r="X71" s="4"/>
    </row>
    <row r="72" spans="1:24" ht="15" customHeight="1">
      <c r="A72" s="4"/>
      <c r="B72" s="4"/>
      <c r="C72" s="5"/>
      <c r="D72" s="4"/>
      <c r="E72" s="5"/>
      <c r="F72" s="6"/>
      <c r="G72" s="5"/>
      <c r="H72" s="6"/>
      <c r="I72" s="5"/>
      <c r="J72" s="4"/>
      <c r="K72" s="4"/>
      <c r="N72" s="4"/>
      <c r="O72" s="4"/>
      <c r="P72" s="4"/>
      <c r="Q72" s="4"/>
      <c r="R72" s="4"/>
      <c r="S72" s="4"/>
      <c r="T72" s="4"/>
      <c r="U72" s="4"/>
      <c r="V72" s="7"/>
      <c r="W72" s="8"/>
      <c r="X72" s="4"/>
    </row>
    <row r="73" spans="1:24" ht="15" customHeight="1">
      <c r="A73" s="4"/>
      <c r="B73" s="4"/>
      <c r="C73" s="5"/>
      <c r="D73" s="4"/>
      <c r="E73" s="5"/>
      <c r="F73" s="6"/>
      <c r="G73" s="5"/>
      <c r="H73" s="6"/>
      <c r="I73" s="5"/>
      <c r="J73" s="4"/>
      <c r="K73" s="4"/>
      <c r="N73" s="4"/>
      <c r="O73" s="4"/>
      <c r="P73" s="4"/>
      <c r="Q73" s="4"/>
      <c r="R73" s="4"/>
      <c r="S73" s="4"/>
      <c r="T73" s="4"/>
      <c r="U73" s="4"/>
      <c r="V73" s="7"/>
      <c r="W73" s="8"/>
      <c r="X73" s="4"/>
    </row>
    <row r="74" spans="1:24" ht="15" customHeight="1">
      <c r="A74" s="4"/>
      <c r="B74" s="4"/>
      <c r="C74" s="5"/>
      <c r="D74" s="4"/>
      <c r="E74" s="5"/>
      <c r="F74" s="6"/>
      <c r="G74" s="5"/>
      <c r="H74" s="6"/>
      <c r="I74" s="5"/>
      <c r="J74" s="4"/>
      <c r="K74" s="4"/>
      <c r="N74" s="4"/>
      <c r="O74" s="4"/>
      <c r="P74" s="4"/>
      <c r="Q74" s="4"/>
      <c r="R74" s="4"/>
      <c r="S74" s="4"/>
      <c r="T74" s="4"/>
      <c r="U74" s="4"/>
      <c r="V74" s="7"/>
      <c r="W74" s="8"/>
      <c r="X74" s="4"/>
    </row>
    <row r="75" spans="1:24" ht="15" customHeight="1">
      <c r="A75" s="4"/>
      <c r="B75" s="4"/>
      <c r="C75" s="5"/>
      <c r="D75" s="4"/>
      <c r="E75" s="5"/>
      <c r="F75" s="6"/>
      <c r="G75" s="5"/>
      <c r="H75" s="6"/>
      <c r="I75" s="5"/>
      <c r="J75" s="4"/>
      <c r="K75" s="4"/>
      <c r="N75" s="4"/>
      <c r="O75" s="4"/>
      <c r="P75" s="4"/>
      <c r="Q75" s="4"/>
      <c r="R75" s="4"/>
      <c r="S75" s="4"/>
      <c r="T75" s="4"/>
      <c r="U75" s="4"/>
      <c r="V75" s="7"/>
      <c r="W75" s="8"/>
      <c r="X75" s="4"/>
    </row>
    <row r="76" spans="1:24" ht="15" customHeight="1">
      <c r="A76" s="4"/>
      <c r="B76" s="4"/>
      <c r="C76" s="5"/>
      <c r="D76" s="4"/>
      <c r="E76" s="5"/>
      <c r="F76" s="6"/>
      <c r="G76" s="5"/>
      <c r="H76" s="6"/>
      <c r="I76" s="5"/>
      <c r="J76" s="4"/>
      <c r="N76" s="4"/>
      <c r="O76" s="4"/>
      <c r="P76" s="4"/>
      <c r="Q76" s="4"/>
      <c r="R76" s="4"/>
      <c r="S76" s="4"/>
      <c r="T76" s="4"/>
      <c r="U76" s="4"/>
      <c r="V76" s="7"/>
      <c r="W76" s="8"/>
      <c r="X76" s="4"/>
    </row>
    <row r="77" spans="1:24" ht="15" customHeight="1">
      <c r="A77" s="4"/>
      <c r="B77" s="4"/>
      <c r="C77" s="5"/>
      <c r="D77" s="4"/>
      <c r="E77" s="5"/>
      <c r="F77" s="6"/>
      <c r="G77" s="5"/>
      <c r="H77" s="6"/>
      <c r="I77" s="5"/>
      <c r="J77" s="4"/>
      <c r="N77" s="4"/>
      <c r="O77" s="4"/>
      <c r="P77" s="4"/>
      <c r="Q77" s="4"/>
      <c r="R77" s="4"/>
      <c r="S77" s="4"/>
      <c r="T77" s="4"/>
      <c r="U77" s="4"/>
      <c r="V77" s="7"/>
      <c r="W77" s="8"/>
      <c r="X77" s="4"/>
    </row>
    <row r="78" spans="1:24" ht="15" customHeight="1">
      <c r="A78" s="4"/>
      <c r="B78" s="4"/>
      <c r="C78" s="5"/>
      <c r="D78" s="4"/>
      <c r="E78" s="5"/>
      <c r="F78" s="6"/>
      <c r="G78" s="5"/>
      <c r="H78" s="6"/>
      <c r="I78" s="5"/>
      <c r="J78" s="4"/>
      <c r="N78" s="4"/>
      <c r="O78" s="4"/>
      <c r="P78" s="4"/>
      <c r="Q78" s="4"/>
      <c r="R78" s="4"/>
      <c r="S78" s="4"/>
      <c r="T78" s="4"/>
      <c r="U78" s="4"/>
      <c r="V78" s="7"/>
      <c r="W78" s="8"/>
      <c r="X78" s="4"/>
    </row>
    <row r="79" spans="1:24" ht="15" customHeight="1">
      <c r="A79" s="4"/>
      <c r="B79" s="4"/>
      <c r="C79" s="5"/>
      <c r="D79" s="4"/>
      <c r="E79" s="5"/>
      <c r="F79" s="6"/>
      <c r="G79" s="5"/>
      <c r="H79" s="6"/>
      <c r="I79" s="5"/>
      <c r="J79" s="4"/>
      <c r="N79" s="4"/>
      <c r="O79" s="4"/>
      <c r="P79" s="4"/>
      <c r="Q79" s="4"/>
      <c r="R79" s="4"/>
      <c r="S79" s="4"/>
      <c r="T79" s="4"/>
      <c r="U79" s="4"/>
      <c r="V79" s="7"/>
      <c r="W79" s="8"/>
      <c r="X79" s="4"/>
    </row>
    <row r="80" spans="1:24" ht="15" customHeight="1">
      <c r="A80" s="4"/>
      <c r="B80" s="4"/>
      <c r="C80" s="5"/>
      <c r="D80" s="4"/>
      <c r="E80" s="5"/>
      <c r="F80" s="6"/>
      <c r="G80" s="5"/>
      <c r="H80" s="6"/>
      <c r="I80" s="5"/>
      <c r="J80" s="4"/>
      <c r="N80" s="4"/>
      <c r="O80" s="4"/>
      <c r="P80" s="4"/>
      <c r="Q80" s="4"/>
      <c r="R80" s="4"/>
      <c r="S80" s="4"/>
      <c r="T80" s="4"/>
      <c r="U80" s="4"/>
      <c r="V80" s="7"/>
      <c r="W80" s="8"/>
      <c r="X80" s="4"/>
    </row>
    <row r="81" spans="1:24" ht="15" customHeight="1">
      <c r="A81" s="4"/>
      <c r="B81" s="4"/>
      <c r="C81" s="5"/>
      <c r="D81" s="4"/>
      <c r="E81" s="5"/>
      <c r="F81" s="6"/>
      <c r="G81" s="5"/>
      <c r="H81" s="6"/>
      <c r="I81" s="5"/>
      <c r="J81" s="4"/>
      <c r="N81" s="4"/>
      <c r="O81" s="4"/>
      <c r="P81" s="4"/>
      <c r="Q81" s="4"/>
      <c r="R81" s="4"/>
      <c r="S81" s="4"/>
      <c r="T81" s="4"/>
      <c r="U81" s="4"/>
      <c r="V81" s="7"/>
      <c r="W81" s="8"/>
      <c r="X81" s="4"/>
    </row>
    <row r="82" spans="1:24" ht="15" customHeight="1">
      <c r="A82" s="4"/>
      <c r="B82" s="4"/>
      <c r="C82" s="5"/>
      <c r="D82" s="4"/>
      <c r="E82" s="5"/>
      <c r="F82" s="6"/>
      <c r="G82" s="5"/>
      <c r="H82" s="6"/>
      <c r="I82" s="5"/>
      <c r="J82" s="4"/>
      <c r="N82" s="4"/>
      <c r="O82" s="4"/>
      <c r="P82" s="4"/>
      <c r="Q82" s="4"/>
      <c r="R82" s="4"/>
      <c r="S82" s="4"/>
      <c r="T82" s="4"/>
      <c r="U82" s="4"/>
      <c r="V82" s="7"/>
      <c r="W82" s="8"/>
      <c r="X82" s="4"/>
    </row>
    <row r="83" spans="1:24" ht="15" customHeight="1">
      <c r="A83" s="4"/>
      <c r="B83" s="4"/>
      <c r="C83" s="5"/>
      <c r="D83" s="4"/>
      <c r="E83" s="5"/>
      <c r="F83" s="6"/>
      <c r="G83" s="5"/>
      <c r="H83" s="6"/>
      <c r="I83" s="5"/>
      <c r="J83" s="4"/>
      <c r="N83" s="4"/>
      <c r="O83" s="4"/>
      <c r="P83" s="4"/>
      <c r="Q83" s="4"/>
      <c r="R83" s="4"/>
      <c r="S83" s="4"/>
      <c r="T83" s="4"/>
      <c r="U83" s="4"/>
      <c r="V83" s="7"/>
      <c r="W83" s="8"/>
      <c r="X83" s="4"/>
    </row>
    <row r="84" spans="1:24" ht="15" customHeight="1">
      <c r="A84" s="4"/>
      <c r="B84" s="4"/>
      <c r="C84" s="5"/>
      <c r="D84" s="4"/>
      <c r="E84" s="5"/>
      <c r="F84" s="6"/>
      <c r="G84" s="5"/>
      <c r="H84" s="6"/>
      <c r="I84" s="5"/>
      <c r="J84" s="4"/>
      <c r="N84" s="4"/>
      <c r="O84" s="4"/>
      <c r="P84" s="4"/>
      <c r="Q84" s="4"/>
      <c r="R84" s="4"/>
      <c r="S84" s="4"/>
      <c r="T84" s="4"/>
      <c r="U84" s="4"/>
      <c r="V84" s="7"/>
      <c r="W84" s="8"/>
      <c r="X84" s="4"/>
    </row>
    <row r="85" spans="1:24" ht="15" customHeight="1">
      <c r="A85" s="4"/>
      <c r="B85" s="4"/>
      <c r="C85" s="5"/>
      <c r="D85" s="4"/>
      <c r="E85" s="5"/>
      <c r="F85" s="6"/>
      <c r="G85" s="5"/>
      <c r="H85" s="6"/>
      <c r="I85" s="5"/>
      <c r="J85" s="4"/>
      <c r="N85" s="4"/>
      <c r="O85" s="4"/>
      <c r="P85" s="4"/>
      <c r="Q85" s="4"/>
      <c r="R85" s="4"/>
      <c r="S85" s="4"/>
      <c r="T85" s="4"/>
      <c r="U85" s="4"/>
      <c r="V85" s="7"/>
      <c r="W85" s="8"/>
      <c r="X85" s="4"/>
    </row>
    <row r="86" spans="1:24" ht="15" customHeight="1">
      <c r="A86" s="4"/>
      <c r="B86" s="4"/>
      <c r="C86" s="5"/>
      <c r="D86" s="4"/>
      <c r="E86" s="5"/>
      <c r="F86" s="6"/>
      <c r="G86" s="5"/>
      <c r="H86" s="6"/>
      <c r="I86" s="5"/>
      <c r="J86" s="4"/>
      <c r="N86" s="4"/>
      <c r="O86" s="4"/>
      <c r="P86" s="4"/>
      <c r="Q86" s="4"/>
      <c r="R86" s="4"/>
      <c r="S86" s="4"/>
      <c r="T86" s="4"/>
      <c r="U86" s="4"/>
      <c r="V86" s="7"/>
      <c r="W86" s="8"/>
      <c r="X86" s="4"/>
    </row>
    <row r="87" spans="1:24" ht="15" customHeight="1">
      <c r="A87" s="4"/>
      <c r="B87" s="4"/>
      <c r="C87" s="5"/>
      <c r="D87" s="4"/>
      <c r="E87" s="5"/>
      <c r="F87" s="6"/>
      <c r="G87" s="5"/>
      <c r="H87" s="6"/>
      <c r="I87" s="5"/>
      <c r="J87" s="4"/>
      <c r="N87" s="4"/>
      <c r="O87" s="4"/>
      <c r="P87" s="4"/>
      <c r="Q87" s="4"/>
      <c r="R87" s="4"/>
      <c r="S87" s="4"/>
      <c r="T87" s="4"/>
      <c r="U87" s="4"/>
      <c r="V87" s="7"/>
      <c r="W87" s="8"/>
      <c r="X87" s="4"/>
    </row>
    <row r="88" spans="1:24" ht="15" customHeight="1">
      <c r="A88" s="4"/>
      <c r="B88" s="4"/>
      <c r="C88" s="5"/>
      <c r="D88" s="4"/>
      <c r="E88" s="5"/>
      <c r="F88" s="6"/>
      <c r="G88" s="5"/>
      <c r="H88" s="6"/>
      <c r="I88" s="5"/>
      <c r="J88" s="4"/>
      <c r="N88" s="4"/>
      <c r="O88" s="4"/>
      <c r="P88" s="4"/>
      <c r="Q88" s="4"/>
      <c r="R88" s="4"/>
      <c r="S88" s="4"/>
      <c r="T88" s="4"/>
      <c r="U88" s="4"/>
      <c r="V88" s="7"/>
      <c r="W88" s="8"/>
      <c r="X88" s="4"/>
    </row>
    <row r="89" spans="1:24" ht="15" customHeight="1">
      <c r="A89" s="4"/>
      <c r="B89" s="4"/>
      <c r="C89" s="5"/>
      <c r="D89" s="4"/>
      <c r="E89" s="5"/>
      <c r="F89" s="6"/>
      <c r="G89" s="5"/>
      <c r="H89" s="6"/>
      <c r="I89" s="5"/>
      <c r="J89" s="4"/>
      <c r="N89" s="4"/>
      <c r="O89" s="4"/>
      <c r="P89" s="4"/>
      <c r="Q89" s="4"/>
      <c r="R89" s="4"/>
      <c r="S89" s="4"/>
      <c r="T89" s="4"/>
      <c r="U89" s="4"/>
      <c r="V89" s="7"/>
      <c r="W89" s="8"/>
      <c r="X89" s="4"/>
    </row>
    <row r="90" spans="1:24" ht="15" customHeight="1">
      <c r="A90" s="4"/>
      <c r="B90" s="4"/>
      <c r="C90" s="5"/>
      <c r="D90" s="4"/>
      <c r="E90" s="5"/>
      <c r="F90" s="6"/>
      <c r="G90" s="5"/>
      <c r="H90" s="6"/>
      <c r="I90" s="5"/>
      <c r="J90" s="4"/>
      <c r="N90" s="4"/>
      <c r="O90" s="4"/>
      <c r="P90" s="4"/>
      <c r="Q90" s="4"/>
      <c r="R90" s="4"/>
      <c r="S90" s="4"/>
      <c r="T90" s="4"/>
      <c r="U90" s="4"/>
      <c r="V90" s="7"/>
      <c r="W90" s="8"/>
      <c r="X90" s="4"/>
    </row>
    <row r="91" spans="1:24" ht="15" customHeight="1">
      <c r="A91" s="4"/>
      <c r="B91" s="4"/>
      <c r="C91" s="5"/>
      <c r="D91" s="4"/>
      <c r="E91" s="5"/>
      <c r="F91" s="6"/>
      <c r="G91" s="5"/>
      <c r="H91" s="6"/>
      <c r="I91" s="5"/>
      <c r="J91" s="4"/>
      <c r="N91" s="4"/>
      <c r="O91" s="4"/>
      <c r="P91" s="4"/>
      <c r="Q91" s="4"/>
      <c r="R91" s="4"/>
      <c r="S91" s="4"/>
      <c r="T91" s="4"/>
      <c r="U91" s="4"/>
      <c r="V91" s="7"/>
      <c r="W91" s="8"/>
      <c r="X91" s="4"/>
    </row>
    <row r="92" spans="1:24" ht="15" customHeight="1">
      <c r="A92" s="4"/>
      <c r="B92" s="4"/>
      <c r="C92" s="5"/>
      <c r="D92" s="4"/>
      <c r="E92" s="5"/>
      <c r="F92" s="6"/>
      <c r="G92" s="5"/>
      <c r="H92" s="6"/>
      <c r="I92" s="5"/>
      <c r="J92" s="4"/>
      <c r="N92" s="4"/>
      <c r="O92" s="4"/>
      <c r="P92" s="4"/>
      <c r="Q92" s="4"/>
      <c r="R92" s="4"/>
      <c r="S92" s="4"/>
      <c r="T92" s="4"/>
      <c r="U92" s="4"/>
      <c r="V92" s="7"/>
      <c r="W92" s="8"/>
      <c r="X92" s="4"/>
    </row>
    <row r="93" spans="1:24" ht="15" customHeight="1">
      <c r="A93" s="4"/>
      <c r="B93" s="4"/>
      <c r="C93" s="5"/>
      <c r="D93" s="4"/>
      <c r="E93" s="5"/>
      <c r="F93" s="6"/>
      <c r="G93" s="5"/>
      <c r="H93" s="6"/>
      <c r="I93" s="5"/>
      <c r="J93" s="4"/>
      <c r="N93" s="4"/>
      <c r="O93" s="4"/>
      <c r="P93" s="4"/>
      <c r="Q93" s="4"/>
      <c r="R93" s="4"/>
      <c r="S93" s="4"/>
      <c r="T93" s="4"/>
      <c r="U93" s="4"/>
      <c r="V93" s="7"/>
      <c r="W93" s="8"/>
      <c r="X93" s="4"/>
    </row>
    <row r="94" spans="1:24" ht="15" customHeight="1">
      <c r="A94" s="4"/>
      <c r="B94" s="4"/>
      <c r="C94" s="5"/>
      <c r="D94" s="4"/>
      <c r="E94" s="5"/>
      <c r="F94" s="6"/>
      <c r="G94" s="5"/>
      <c r="H94" s="6"/>
      <c r="I94" s="5"/>
      <c r="J94" s="4"/>
      <c r="N94" s="4"/>
      <c r="O94" s="4"/>
      <c r="P94" s="4"/>
      <c r="Q94" s="4"/>
      <c r="R94" s="4"/>
      <c r="S94" s="4"/>
      <c r="T94" s="4"/>
      <c r="U94" s="4"/>
      <c r="V94" s="7"/>
      <c r="W94" s="8"/>
      <c r="X94" s="4"/>
    </row>
    <row r="95" spans="1:24" ht="15" customHeight="1">
      <c r="A95" s="4"/>
      <c r="B95" s="4"/>
      <c r="C95" s="5"/>
      <c r="D95" s="4"/>
      <c r="E95" s="5"/>
      <c r="F95" s="6"/>
      <c r="G95" s="5"/>
      <c r="H95" s="6"/>
      <c r="I95" s="5"/>
      <c r="J95" s="4"/>
      <c r="N95" s="4"/>
      <c r="O95" s="4"/>
      <c r="P95" s="4"/>
      <c r="Q95" s="4"/>
      <c r="R95" s="4"/>
      <c r="S95" s="4"/>
      <c r="T95" s="4"/>
      <c r="U95" s="4"/>
      <c r="V95" s="7"/>
      <c r="W95" s="8"/>
      <c r="X95" s="4"/>
    </row>
    <row r="96" spans="1:24" ht="15" customHeight="1">
      <c r="A96" s="4"/>
      <c r="B96" s="4"/>
      <c r="C96" s="5"/>
      <c r="D96" s="4"/>
      <c r="E96" s="5"/>
      <c r="F96" s="6"/>
      <c r="G96" s="5"/>
      <c r="H96" s="6"/>
      <c r="I96" s="5"/>
      <c r="J96" s="4"/>
      <c r="N96" s="4"/>
      <c r="O96" s="4"/>
      <c r="P96" s="4"/>
      <c r="Q96" s="4"/>
      <c r="R96" s="4"/>
      <c r="S96" s="4"/>
      <c r="T96" s="4"/>
      <c r="U96" s="4"/>
      <c r="V96" s="7"/>
      <c r="W96" s="8"/>
      <c r="X96" s="4"/>
    </row>
    <row r="97" spans="1:24" ht="15" customHeight="1">
      <c r="A97" s="4"/>
      <c r="B97" s="4"/>
      <c r="C97" s="5"/>
      <c r="D97" s="4"/>
      <c r="E97" s="5"/>
      <c r="F97" s="6"/>
      <c r="G97" s="5"/>
      <c r="H97" s="6"/>
      <c r="I97" s="5"/>
      <c r="J97" s="4"/>
      <c r="N97" s="4"/>
      <c r="O97" s="4"/>
      <c r="P97" s="4"/>
      <c r="Q97" s="4"/>
      <c r="R97" s="4"/>
      <c r="S97" s="4"/>
      <c r="T97" s="4"/>
      <c r="U97" s="4"/>
      <c r="V97" s="7"/>
      <c r="W97" s="8"/>
      <c r="X97" s="4"/>
    </row>
    <row r="98" spans="1:24" ht="15" customHeight="1">
      <c r="A98" s="4"/>
      <c r="B98" s="4"/>
      <c r="C98" s="5"/>
      <c r="D98" s="4"/>
      <c r="E98" s="5"/>
      <c r="F98" s="6"/>
      <c r="G98" s="5"/>
      <c r="H98" s="6"/>
      <c r="I98" s="5"/>
      <c r="J98" s="4"/>
      <c r="N98" s="4"/>
      <c r="O98" s="4"/>
      <c r="P98" s="4"/>
      <c r="Q98" s="4"/>
      <c r="R98" s="4"/>
      <c r="S98" s="4"/>
      <c r="T98" s="4"/>
      <c r="U98" s="4"/>
      <c r="V98" s="7"/>
      <c r="W98" s="8"/>
      <c r="X98" s="4"/>
    </row>
    <row r="99" spans="1:24" ht="15" customHeight="1">
      <c r="A99" s="4"/>
      <c r="B99" s="4"/>
      <c r="C99" s="5"/>
      <c r="D99" s="4"/>
      <c r="E99" s="5"/>
      <c r="F99" s="6"/>
      <c r="G99" s="5"/>
      <c r="H99" s="6"/>
      <c r="I99" s="5"/>
      <c r="J99" s="4"/>
      <c r="N99" s="4"/>
      <c r="O99" s="4"/>
      <c r="P99" s="4"/>
      <c r="Q99" s="4"/>
      <c r="R99" s="4"/>
      <c r="S99" s="4"/>
      <c r="T99" s="4"/>
      <c r="U99" s="4"/>
      <c r="V99" s="7"/>
      <c r="W99" s="8"/>
      <c r="X99" s="4"/>
    </row>
    <row r="100" spans="1:24" ht="15" customHeight="1">
      <c r="A100" s="4"/>
      <c r="B100" s="4"/>
      <c r="C100" s="5"/>
      <c r="D100" s="4"/>
      <c r="E100" s="5"/>
      <c r="F100" s="6"/>
      <c r="G100" s="5"/>
      <c r="H100" s="6"/>
      <c r="I100" s="5"/>
      <c r="J100" s="4"/>
      <c r="K100" s="4"/>
      <c r="N100" s="4"/>
      <c r="O100" s="4"/>
      <c r="P100" s="4"/>
      <c r="Q100" s="4"/>
      <c r="R100" s="4"/>
      <c r="S100" s="4"/>
      <c r="T100" s="4"/>
      <c r="U100" s="4"/>
      <c r="V100" s="7"/>
      <c r="W100" s="8"/>
      <c r="X100" s="4"/>
    </row>
    <row r="101" spans="1:24" ht="15" customHeight="1">
      <c r="A101" s="4"/>
      <c r="B101" s="4"/>
      <c r="C101" s="5"/>
      <c r="D101" s="4"/>
      <c r="E101" s="5"/>
      <c r="F101" s="6"/>
      <c r="G101" s="5"/>
      <c r="H101" s="6"/>
      <c r="I101" s="5"/>
      <c r="J101" s="4"/>
      <c r="N101" s="4"/>
      <c r="O101" s="4"/>
      <c r="P101" s="4"/>
      <c r="Q101" s="4"/>
      <c r="R101" s="4"/>
      <c r="S101" s="4"/>
      <c r="T101" s="4"/>
      <c r="U101" s="4"/>
      <c r="V101" s="7"/>
      <c r="W101" s="8"/>
      <c r="X101" s="4"/>
    </row>
    <row r="102" spans="1:24" ht="15" customHeight="1">
      <c r="A102" s="4"/>
      <c r="B102" s="4"/>
      <c r="C102" s="5"/>
      <c r="D102" s="4"/>
      <c r="E102" s="5"/>
      <c r="F102" s="6"/>
      <c r="G102" s="5"/>
      <c r="H102" s="6"/>
      <c r="I102" s="5"/>
      <c r="J102" s="4"/>
      <c r="N102" s="4"/>
      <c r="O102" s="4"/>
      <c r="P102" s="4"/>
      <c r="Q102" s="4"/>
      <c r="R102" s="4"/>
      <c r="S102" s="4"/>
      <c r="T102" s="4"/>
      <c r="U102" s="4"/>
      <c r="V102" s="7"/>
      <c r="W102" s="8"/>
      <c r="X102" s="4"/>
    </row>
    <row r="103" spans="1:24" ht="15" customHeight="1">
      <c r="A103" s="4"/>
      <c r="B103" s="4"/>
      <c r="C103" s="5"/>
      <c r="D103" s="4"/>
      <c r="E103" s="5"/>
      <c r="F103" s="6"/>
      <c r="G103" s="5"/>
      <c r="H103" s="6"/>
      <c r="I103" s="5"/>
      <c r="J103" s="4"/>
      <c r="N103" s="4"/>
      <c r="O103" s="4"/>
      <c r="P103" s="4"/>
      <c r="Q103" s="4"/>
      <c r="R103" s="4"/>
      <c r="S103" s="4"/>
      <c r="T103" s="4"/>
      <c r="U103" s="4"/>
      <c r="V103" s="7"/>
      <c r="W103" s="8"/>
      <c r="X103" s="4"/>
    </row>
    <row r="104" spans="1:24" ht="15" customHeight="1">
      <c r="A104" s="4"/>
      <c r="B104" s="4"/>
      <c r="C104" s="5"/>
      <c r="D104" s="4"/>
      <c r="E104" s="5"/>
      <c r="F104" s="6"/>
      <c r="G104" s="5"/>
      <c r="H104" s="6"/>
      <c r="I104" s="5"/>
      <c r="J104" s="4"/>
      <c r="N104" s="4"/>
      <c r="O104" s="4"/>
      <c r="P104" s="4"/>
      <c r="Q104" s="4"/>
      <c r="R104" s="4"/>
      <c r="S104" s="4"/>
      <c r="T104" s="4"/>
      <c r="U104" s="4"/>
      <c r="V104" s="7"/>
      <c r="W104" s="8"/>
      <c r="X104" s="4"/>
    </row>
    <row r="105" spans="1:24" ht="15" customHeight="1">
      <c r="A105" s="4"/>
      <c r="B105" s="4"/>
      <c r="C105" s="5"/>
      <c r="D105" s="4"/>
      <c r="E105" s="5"/>
      <c r="F105" s="6"/>
      <c r="G105" s="5"/>
      <c r="H105" s="6"/>
      <c r="I105" s="5"/>
      <c r="J105" s="4"/>
      <c r="N105" s="4"/>
      <c r="O105" s="4"/>
      <c r="P105" s="4"/>
      <c r="Q105" s="4"/>
      <c r="R105" s="4"/>
      <c r="S105" s="4"/>
      <c r="T105" s="4"/>
      <c r="U105" s="4"/>
      <c r="V105" s="7"/>
      <c r="W105" s="8"/>
      <c r="X105" s="4"/>
    </row>
    <row r="106" spans="1:24" ht="15" customHeight="1">
      <c r="A106" s="4"/>
      <c r="B106" s="4"/>
      <c r="C106" s="5"/>
      <c r="D106" s="4"/>
      <c r="E106" s="5"/>
      <c r="F106" s="6"/>
      <c r="G106" s="5"/>
      <c r="H106" s="6"/>
      <c r="I106" s="5"/>
      <c r="J106" s="4"/>
      <c r="N106" s="4"/>
      <c r="O106" s="4"/>
      <c r="P106" s="4"/>
      <c r="Q106" s="4"/>
      <c r="R106" s="4"/>
      <c r="S106" s="4"/>
      <c r="T106" s="4"/>
      <c r="U106" s="4"/>
      <c r="V106" s="7"/>
      <c r="W106" s="8"/>
      <c r="X106" s="4"/>
    </row>
    <row r="107" spans="1:24" ht="15" customHeight="1">
      <c r="A107" s="4"/>
      <c r="B107" s="4"/>
      <c r="C107" s="5"/>
      <c r="D107" s="4"/>
      <c r="E107" s="5"/>
      <c r="F107" s="6"/>
      <c r="G107" s="5"/>
      <c r="H107" s="6"/>
      <c r="I107" s="5"/>
      <c r="J107" s="4"/>
      <c r="N107" s="4"/>
      <c r="O107" s="4"/>
      <c r="P107" s="4"/>
      <c r="Q107" s="4"/>
      <c r="R107" s="4"/>
      <c r="S107" s="4"/>
      <c r="T107" s="4"/>
      <c r="U107" s="4"/>
      <c r="V107" s="7"/>
      <c r="W107" s="8"/>
      <c r="X107" s="4"/>
    </row>
    <row r="108" spans="1:24" ht="15" customHeight="1">
      <c r="A108" s="4"/>
      <c r="B108" s="4"/>
      <c r="C108" s="5"/>
      <c r="D108" s="4"/>
      <c r="E108" s="5"/>
      <c r="F108" s="6"/>
      <c r="G108" s="5"/>
      <c r="H108" s="6"/>
      <c r="I108" s="5"/>
      <c r="J108" s="4"/>
      <c r="N108" s="4"/>
      <c r="O108" s="4"/>
      <c r="P108" s="4"/>
      <c r="Q108" s="4"/>
      <c r="R108" s="4"/>
      <c r="S108" s="4"/>
      <c r="T108" s="4"/>
      <c r="U108" s="4"/>
      <c r="V108" s="7"/>
      <c r="W108" s="8"/>
      <c r="X108" s="4"/>
    </row>
    <row r="109" spans="1:24" ht="15" customHeight="1">
      <c r="A109" s="4"/>
      <c r="B109" s="4"/>
      <c r="C109" s="5"/>
      <c r="D109" s="4"/>
      <c r="E109" s="5"/>
      <c r="F109" s="6"/>
      <c r="G109" s="5"/>
      <c r="H109" s="6"/>
      <c r="I109" s="5"/>
      <c r="J109" s="4"/>
      <c r="N109" s="4"/>
      <c r="O109" s="4"/>
      <c r="P109" s="4"/>
      <c r="Q109" s="4"/>
      <c r="R109" s="4"/>
      <c r="S109" s="4"/>
      <c r="T109" s="4"/>
      <c r="U109" s="4"/>
      <c r="V109" s="7"/>
      <c r="W109" s="8"/>
      <c r="X109" s="4"/>
    </row>
    <row r="110" spans="1:24" ht="15" customHeight="1">
      <c r="A110" s="4"/>
      <c r="B110" s="4"/>
      <c r="C110" s="5"/>
      <c r="D110" s="4"/>
      <c r="E110" s="5"/>
      <c r="F110" s="6"/>
      <c r="G110" s="5"/>
      <c r="H110" s="6"/>
      <c r="I110" s="5"/>
      <c r="J110" s="4"/>
      <c r="N110" s="4"/>
      <c r="O110" s="4"/>
      <c r="P110" s="4"/>
      <c r="Q110" s="4"/>
      <c r="R110" s="4"/>
      <c r="S110" s="4"/>
      <c r="T110" s="4"/>
      <c r="U110" s="4"/>
      <c r="V110" s="7"/>
      <c r="W110" s="8"/>
      <c r="X110" s="4"/>
    </row>
    <row r="111" spans="1:24" ht="15" customHeight="1">
      <c r="A111" s="4"/>
      <c r="B111" s="4"/>
      <c r="C111" s="5"/>
      <c r="D111" s="4"/>
      <c r="E111" s="5"/>
      <c r="F111" s="6"/>
      <c r="G111" s="5"/>
      <c r="H111" s="6"/>
      <c r="I111" s="5"/>
      <c r="J111" s="4"/>
      <c r="N111" s="4"/>
      <c r="O111" s="4"/>
      <c r="P111" s="4"/>
      <c r="Q111" s="4"/>
      <c r="R111" s="4"/>
      <c r="S111" s="4"/>
      <c r="T111" s="4"/>
      <c r="U111" s="4"/>
      <c r="V111" s="7"/>
      <c r="W111" s="8"/>
      <c r="X111" s="4"/>
    </row>
    <row r="112" spans="1:24" ht="15" customHeight="1">
      <c r="A112" s="4"/>
      <c r="B112" s="4"/>
      <c r="C112" s="5"/>
      <c r="D112" s="4"/>
      <c r="E112" s="5"/>
      <c r="F112" s="6"/>
      <c r="G112" s="5"/>
      <c r="H112" s="6"/>
      <c r="I112" s="5"/>
      <c r="J112" s="4"/>
      <c r="N112" s="4"/>
      <c r="O112" s="4"/>
      <c r="P112" s="4"/>
      <c r="Q112" s="4"/>
      <c r="R112" s="4"/>
      <c r="S112" s="4"/>
      <c r="T112" s="4"/>
      <c r="U112" s="4"/>
      <c r="V112" s="7"/>
      <c r="W112" s="8"/>
      <c r="X112" s="4"/>
    </row>
    <row r="113" spans="1:24" ht="15" customHeight="1">
      <c r="A113" s="4"/>
      <c r="B113" s="4"/>
      <c r="C113" s="5"/>
      <c r="D113" s="4"/>
      <c r="E113" s="5"/>
      <c r="F113" s="6"/>
      <c r="G113" s="5"/>
      <c r="H113" s="6"/>
      <c r="I113" s="5"/>
      <c r="J113" s="4"/>
      <c r="N113" s="4"/>
      <c r="O113" s="4"/>
      <c r="P113" s="4"/>
      <c r="Q113" s="4"/>
      <c r="R113" s="4"/>
      <c r="S113" s="4"/>
      <c r="T113" s="4"/>
      <c r="U113" s="4"/>
      <c r="V113" s="7"/>
      <c r="W113" s="8"/>
      <c r="X113" s="4"/>
    </row>
    <row r="114" spans="1:24" ht="15" customHeight="1">
      <c r="A114" s="4"/>
      <c r="B114" s="4"/>
      <c r="C114" s="5"/>
      <c r="D114" s="4"/>
      <c r="E114" s="5"/>
      <c r="F114" s="6"/>
      <c r="G114" s="5"/>
      <c r="H114" s="6"/>
      <c r="I114" s="5"/>
      <c r="J114" s="4"/>
      <c r="N114" s="4"/>
      <c r="O114" s="4"/>
      <c r="P114" s="4"/>
      <c r="Q114" s="4"/>
      <c r="R114" s="4"/>
      <c r="S114" s="4"/>
      <c r="T114" s="4"/>
      <c r="U114" s="4"/>
      <c r="V114" s="7"/>
      <c r="W114" s="8"/>
      <c r="X114" s="4"/>
    </row>
    <row r="115" spans="1:24" ht="15" customHeight="1">
      <c r="A115" s="4"/>
      <c r="B115" s="4"/>
      <c r="C115" s="5"/>
      <c r="D115" s="4"/>
      <c r="E115" s="5"/>
      <c r="F115" s="6"/>
      <c r="G115" s="5"/>
      <c r="H115" s="6"/>
      <c r="I115" s="5"/>
      <c r="J115" s="4"/>
      <c r="N115" s="4"/>
      <c r="O115" s="4"/>
      <c r="P115" s="4"/>
      <c r="Q115" s="4"/>
      <c r="R115" s="4"/>
      <c r="S115" s="4"/>
      <c r="T115" s="4"/>
      <c r="U115" s="4"/>
      <c r="V115" s="7"/>
      <c r="W115" s="8"/>
      <c r="X115" s="4"/>
    </row>
    <row r="116" spans="1:24" ht="15" customHeight="1">
      <c r="A116" s="4"/>
      <c r="B116" s="4"/>
      <c r="C116" s="5"/>
      <c r="D116" s="4"/>
      <c r="E116" s="5"/>
      <c r="F116" s="6"/>
      <c r="G116" s="5"/>
      <c r="H116" s="6"/>
      <c r="I116" s="5"/>
      <c r="J116" s="4"/>
      <c r="N116" s="4"/>
      <c r="O116" s="4"/>
      <c r="P116" s="4"/>
      <c r="Q116" s="4"/>
      <c r="R116" s="4"/>
      <c r="S116" s="4"/>
      <c r="T116" s="4"/>
      <c r="U116" s="4"/>
      <c r="V116" s="7"/>
      <c r="W116" s="8"/>
      <c r="X116" s="4"/>
    </row>
    <row r="117" spans="1:24" ht="15" customHeight="1">
      <c r="A117" s="4"/>
      <c r="B117" s="4"/>
      <c r="C117" s="5"/>
      <c r="D117" s="4"/>
      <c r="E117" s="5"/>
      <c r="F117" s="6"/>
      <c r="G117" s="5"/>
      <c r="H117" s="6"/>
      <c r="I117" s="5"/>
      <c r="J117" s="4"/>
      <c r="N117" s="4"/>
      <c r="O117" s="4"/>
      <c r="P117" s="4"/>
      <c r="Q117" s="4"/>
      <c r="R117" s="4"/>
      <c r="S117" s="4"/>
      <c r="T117" s="4"/>
      <c r="U117" s="4"/>
      <c r="V117" s="7"/>
      <c r="W117" s="8"/>
      <c r="X117" s="4"/>
    </row>
    <row r="118" spans="1:24" ht="15" customHeight="1">
      <c r="A118" s="4"/>
      <c r="B118" s="4"/>
      <c r="C118" s="5"/>
      <c r="D118" s="4"/>
      <c r="E118" s="5"/>
      <c r="F118" s="6"/>
      <c r="G118" s="5"/>
      <c r="H118" s="6"/>
      <c r="I118" s="5"/>
      <c r="J118" s="4"/>
      <c r="N118" s="4"/>
      <c r="O118" s="4"/>
      <c r="P118" s="4"/>
      <c r="Q118" s="4"/>
      <c r="R118" s="4"/>
      <c r="S118" s="4"/>
      <c r="T118" s="4"/>
      <c r="U118" s="4"/>
      <c r="V118" s="7"/>
      <c r="W118" s="8"/>
      <c r="X118" s="4"/>
    </row>
    <row r="119" spans="1:24" ht="15" customHeight="1">
      <c r="A119" s="4"/>
      <c r="B119" s="4"/>
      <c r="C119" s="5"/>
      <c r="D119" s="4"/>
      <c r="E119" s="5"/>
      <c r="F119" s="6"/>
      <c r="G119" s="5"/>
      <c r="H119" s="6"/>
      <c r="I119" s="5"/>
      <c r="J119" s="4"/>
      <c r="N119" s="4"/>
      <c r="O119" s="4"/>
      <c r="P119" s="4"/>
      <c r="Q119" s="4"/>
      <c r="R119" s="4"/>
      <c r="S119" s="4"/>
      <c r="T119" s="4"/>
      <c r="U119" s="4"/>
      <c r="V119" s="7"/>
      <c r="W119" s="8"/>
      <c r="X119" s="4"/>
    </row>
    <row r="120" spans="1:24" ht="15" customHeight="1">
      <c r="A120" s="4"/>
      <c r="B120" s="4"/>
      <c r="C120" s="5"/>
      <c r="D120" s="4"/>
      <c r="E120" s="5"/>
      <c r="F120" s="6"/>
      <c r="G120" s="5"/>
      <c r="H120" s="6"/>
      <c r="I120" s="5"/>
      <c r="J120" s="4"/>
      <c r="N120" s="4"/>
      <c r="O120" s="4"/>
      <c r="P120" s="4"/>
      <c r="Q120" s="4"/>
      <c r="R120" s="4"/>
      <c r="S120" s="4"/>
      <c r="T120" s="4"/>
      <c r="U120" s="4"/>
      <c r="V120" s="7"/>
      <c r="W120" s="8"/>
      <c r="X120" s="4"/>
    </row>
    <row r="121" spans="1:24" ht="15" customHeight="1">
      <c r="A121" s="4"/>
      <c r="B121" s="4"/>
      <c r="C121" s="5"/>
      <c r="D121" s="4"/>
      <c r="E121" s="5"/>
      <c r="F121" s="6"/>
      <c r="G121" s="5"/>
      <c r="H121" s="6"/>
      <c r="I121" s="5"/>
      <c r="J121" s="4"/>
      <c r="N121" s="4"/>
      <c r="O121" s="4"/>
      <c r="P121" s="4"/>
      <c r="Q121" s="4"/>
      <c r="R121" s="4"/>
      <c r="S121" s="4"/>
      <c r="T121" s="4"/>
      <c r="U121" s="4"/>
      <c r="V121" s="7"/>
      <c r="W121" s="8"/>
      <c r="X121" s="4"/>
    </row>
    <row r="122" spans="1:24" ht="15" customHeight="1">
      <c r="A122" s="4"/>
      <c r="B122" s="4"/>
      <c r="C122" s="5"/>
      <c r="D122" s="4"/>
      <c r="E122" s="5"/>
      <c r="F122" s="6"/>
      <c r="G122" s="5"/>
      <c r="H122" s="6"/>
      <c r="I122" s="5"/>
      <c r="J122" s="4"/>
      <c r="N122" s="4"/>
      <c r="O122" s="4"/>
      <c r="P122" s="4"/>
      <c r="Q122" s="4"/>
      <c r="R122" s="4"/>
      <c r="S122" s="4"/>
      <c r="T122" s="4"/>
      <c r="U122" s="4"/>
      <c r="V122" s="7"/>
      <c r="W122" s="8"/>
      <c r="X122" s="4"/>
    </row>
    <row r="123" spans="1:24" ht="15" customHeight="1">
      <c r="A123" s="4"/>
      <c r="B123" s="4"/>
      <c r="C123" s="5"/>
      <c r="D123" s="4"/>
      <c r="E123" s="5"/>
      <c r="F123" s="6"/>
      <c r="G123" s="5"/>
      <c r="H123" s="6"/>
      <c r="I123" s="5"/>
      <c r="J123" s="4"/>
      <c r="N123" s="4"/>
      <c r="O123" s="4"/>
      <c r="P123" s="4"/>
      <c r="Q123" s="4"/>
      <c r="R123" s="4"/>
      <c r="S123" s="4"/>
      <c r="T123" s="4"/>
      <c r="U123" s="4"/>
      <c r="V123" s="7"/>
      <c r="W123" s="8"/>
      <c r="X123" s="4"/>
    </row>
    <row r="124" spans="1:24" ht="15" customHeight="1">
      <c r="A124" s="4"/>
      <c r="B124" s="4"/>
      <c r="C124" s="5"/>
      <c r="D124" s="4"/>
      <c r="E124" s="5"/>
      <c r="F124" s="6"/>
      <c r="G124" s="5"/>
      <c r="H124" s="6"/>
      <c r="I124" s="5"/>
      <c r="J124" s="4"/>
      <c r="N124" s="4"/>
      <c r="O124" s="4"/>
      <c r="P124" s="4"/>
      <c r="Q124" s="4"/>
      <c r="R124" s="4"/>
      <c r="S124" s="4"/>
      <c r="T124" s="4"/>
      <c r="U124" s="4"/>
      <c r="V124" s="7"/>
      <c r="W124" s="8"/>
      <c r="X124" s="4"/>
    </row>
    <row r="125" spans="1:24" ht="15" customHeight="1">
      <c r="A125" s="4"/>
      <c r="B125" s="4"/>
      <c r="C125" s="5"/>
      <c r="D125" s="4"/>
      <c r="E125" s="5"/>
      <c r="F125" s="6"/>
      <c r="G125" s="5"/>
      <c r="H125" s="6"/>
      <c r="I125" s="5"/>
      <c r="J125" s="4"/>
      <c r="K125" s="4"/>
      <c r="N125" s="4"/>
      <c r="O125" s="4"/>
      <c r="P125" s="4"/>
      <c r="Q125" s="4"/>
      <c r="R125" s="4"/>
      <c r="S125" s="4"/>
      <c r="T125" s="4"/>
      <c r="U125" s="4"/>
      <c r="V125" s="7"/>
      <c r="W125" s="8"/>
      <c r="X125" s="4"/>
    </row>
    <row r="126" spans="1:24" ht="15" customHeight="1">
      <c r="A126" s="4"/>
      <c r="B126" s="4"/>
      <c r="C126" s="5"/>
      <c r="D126" s="4"/>
      <c r="E126" s="5"/>
      <c r="F126" s="6"/>
      <c r="G126" s="5"/>
      <c r="H126" s="6"/>
      <c r="I126" s="5"/>
      <c r="J126" s="4"/>
      <c r="N126" s="4"/>
      <c r="O126" s="4"/>
      <c r="P126" s="4"/>
      <c r="Q126" s="4"/>
      <c r="R126" s="4"/>
      <c r="S126" s="4"/>
      <c r="T126" s="4"/>
      <c r="U126" s="4"/>
      <c r="V126" s="7"/>
      <c r="W126" s="8"/>
      <c r="X126" s="4"/>
    </row>
    <row r="127" spans="1:24" ht="15" customHeight="1">
      <c r="A127" s="4"/>
      <c r="B127" s="4"/>
      <c r="C127" s="5"/>
      <c r="D127" s="4"/>
      <c r="E127" s="5"/>
      <c r="F127" s="6"/>
      <c r="G127" s="5"/>
      <c r="H127" s="6"/>
      <c r="I127" s="5"/>
      <c r="J127" s="4"/>
      <c r="N127" s="4"/>
      <c r="O127" s="4"/>
      <c r="P127" s="4"/>
      <c r="Q127" s="4"/>
      <c r="R127" s="4"/>
      <c r="S127" s="4"/>
      <c r="T127" s="4"/>
      <c r="U127" s="4"/>
      <c r="V127" s="7"/>
      <c r="W127" s="8"/>
      <c r="X127" s="4"/>
    </row>
    <row r="128" spans="1:24" ht="15" customHeight="1">
      <c r="A128" s="4"/>
      <c r="B128" s="4"/>
      <c r="C128" s="5"/>
      <c r="D128" s="4"/>
      <c r="E128" s="5"/>
      <c r="F128" s="6"/>
      <c r="G128" s="5"/>
      <c r="H128" s="6"/>
      <c r="I128" s="5"/>
      <c r="J128" s="4"/>
      <c r="N128" s="4"/>
      <c r="O128" s="4"/>
      <c r="P128" s="4"/>
      <c r="Q128" s="4"/>
      <c r="R128" s="4"/>
      <c r="S128" s="4"/>
      <c r="T128" s="4"/>
      <c r="U128" s="4"/>
      <c r="V128" s="7"/>
      <c r="W128" s="8"/>
      <c r="X128" s="4"/>
    </row>
    <row r="129" spans="1:24" ht="15" customHeight="1">
      <c r="A129" s="4"/>
      <c r="B129" s="4"/>
      <c r="C129" s="5"/>
      <c r="D129" s="4"/>
      <c r="E129" s="5"/>
      <c r="F129" s="6"/>
      <c r="G129" s="5"/>
      <c r="H129" s="6"/>
      <c r="I129" s="5"/>
      <c r="J129" s="4"/>
      <c r="N129" s="4"/>
      <c r="O129" s="4"/>
      <c r="P129" s="4"/>
      <c r="Q129" s="4"/>
      <c r="R129" s="4"/>
      <c r="S129" s="4"/>
      <c r="T129" s="4"/>
      <c r="U129" s="4"/>
      <c r="V129" s="7"/>
      <c r="W129" s="8"/>
      <c r="X129" s="4"/>
    </row>
    <row r="130" spans="1:24" ht="15" customHeight="1">
      <c r="A130" s="4"/>
      <c r="B130" s="4"/>
      <c r="C130" s="5"/>
      <c r="D130" s="4"/>
      <c r="E130" s="5"/>
      <c r="F130" s="6"/>
      <c r="G130" s="5"/>
      <c r="H130" s="6"/>
      <c r="I130" s="5"/>
      <c r="J130" s="4"/>
      <c r="N130" s="4"/>
      <c r="O130" s="4"/>
      <c r="P130" s="4"/>
      <c r="Q130" s="4"/>
      <c r="R130" s="4"/>
      <c r="S130" s="4"/>
      <c r="T130" s="4"/>
      <c r="U130" s="4"/>
      <c r="V130" s="7"/>
      <c r="W130" s="8"/>
      <c r="X130" s="4"/>
    </row>
    <row r="131" spans="1:24" ht="15" customHeight="1">
      <c r="A131" s="4"/>
      <c r="B131" s="4"/>
      <c r="C131" s="5"/>
      <c r="D131" s="4"/>
      <c r="E131" s="5"/>
      <c r="F131" s="6"/>
      <c r="G131" s="5"/>
      <c r="H131" s="6"/>
      <c r="I131" s="5"/>
      <c r="J131" s="4"/>
      <c r="N131" s="4"/>
      <c r="O131" s="4"/>
      <c r="P131" s="4"/>
      <c r="Q131" s="4"/>
      <c r="R131" s="4"/>
      <c r="S131" s="4"/>
      <c r="T131" s="4"/>
      <c r="U131" s="4"/>
      <c r="V131" s="7"/>
      <c r="W131" s="8"/>
      <c r="X131" s="4"/>
    </row>
    <row r="132" spans="1:24" ht="15" customHeight="1">
      <c r="A132" s="4"/>
      <c r="B132" s="4"/>
      <c r="C132" s="5"/>
      <c r="D132" s="4"/>
      <c r="E132" s="5"/>
      <c r="F132" s="6"/>
      <c r="G132" s="5"/>
      <c r="H132" s="6"/>
      <c r="I132" s="5"/>
      <c r="J132" s="4"/>
      <c r="N132" s="4"/>
      <c r="O132" s="4"/>
      <c r="P132" s="4"/>
      <c r="Q132" s="4"/>
      <c r="R132" s="4"/>
      <c r="S132" s="4"/>
      <c r="T132" s="4"/>
      <c r="U132" s="4"/>
      <c r="V132" s="7"/>
      <c r="W132" s="8"/>
      <c r="X132" s="4"/>
    </row>
    <row r="133" spans="1:24" ht="15" customHeight="1">
      <c r="A133" s="4"/>
      <c r="B133" s="4"/>
      <c r="C133" s="5"/>
      <c r="D133" s="4"/>
      <c r="E133" s="5"/>
      <c r="F133" s="6"/>
      <c r="G133" s="5"/>
      <c r="H133" s="6"/>
      <c r="I133" s="5"/>
      <c r="J133" s="4"/>
      <c r="N133" s="4"/>
      <c r="O133" s="4"/>
      <c r="P133" s="4"/>
      <c r="Q133" s="4"/>
      <c r="R133" s="4"/>
      <c r="S133" s="4"/>
      <c r="T133" s="4"/>
      <c r="U133" s="4"/>
      <c r="V133" s="7"/>
      <c r="W133" s="8"/>
      <c r="X133" s="4"/>
    </row>
    <row r="134" spans="1:24" ht="15" customHeight="1">
      <c r="A134" s="4"/>
      <c r="B134" s="4"/>
      <c r="C134" s="5"/>
      <c r="D134" s="4"/>
      <c r="E134" s="5"/>
      <c r="F134" s="6"/>
      <c r="G134" s="5"/>
      <c r="H134" s="6"/>
      <c r="I134" s="5"/>
      <c r="J134" s="4"/>
      <c r="N134" s="4"/>
      <c r="O134" s="4"/>
      <c r="P134" s="4"/>
      <c r="Q134" s="4"/>
      <c r="R134" s="4"/>
      <c r="S134" s="4"/>
      <c r="T134" s="4"/>
      <c r="U134" s="4"/>
      <c r="V134" s="7"/>
      <c r="W134" s="8"/>
      <c r="X134" s="4"/>
    </row>
    <row r="135" spans="1:24" ht="15" customHeight="1">
      <c r="A135" s="4"/>
      <c r="B135" s="4"/>
      <c r="C135" s="5"/>
      <c r="D135" s="4"/>
      <c r="E135" s="5"/>
      <c r="F135" s="6"/>
      <c r="G135" s="5"/>
      <c r="H135" s="6"/>
      <c r="I135" s="5"/>
      <c r="J135" s="4"/>
      <c r="N135" s="4"/>
      <c r="O135" s="4"/>
      <c r="P135" s="4"/>
      <c r="Q135" s="4"/>
      <c r="R135" s="4"/>
      <c r="S135" s="4"/>
      <c r="T135" s="4"/>
      <c r="U135" s="4"/>
      <c r="V135" s="7"/>
      <c r="W135" s="8"/>
      <c r="X135" s="4"/>
    </row>
    <row r="136" spans="1:24" ht="15" customHeight="1">
      <c r="A136" s="4"/>
      <c r="B136" s="4"/>
      <c r="C136" s="5"/>
      <c r="D136" s="4"/>
      <c r="E136" s="5"/>
      <c r="F136" s="6"/>
      <c r="G136" s="5"/>
      <c r="H136" s="6"/>
      <c r="I136" s="5"/>
      <c r="J136" s="4"/>
      <c r="N136" s="4"/>
      <c r="O136" s="4"/>
      <c r="P136" s="4"/>
      <c r="Q136" s="4"/>
      <c r="R136" s="4"/>
      <c r="S136" s="4"/>
      <c r="T136" s="4"/>
      <c r="U136" s="4"/>
      <c r="V136" s="7"/>
      <c r="W136" s="8"/>
      <c r="X136" s="4"/>
    </row>
    <row r="137" spans="1:24" ht="15" customHeight="1">
      <c r="A137" s="4"/>
      <c r="B137" s="4"/>
      <c r="C137" s="5"/>
      <c r="D137" s="4"/>
      <c r="E137" s="5"/>
      <c r="F137" s="6"/>
      <c r="G137" s="5"/>
      <c r="H137" s="6"/>
      <c r="I137" s="5"/>
      <c r="J137" s="4"/>
      <c r="N137" s="4"/>
      <c r="O137" s="4"/>
      <c r="P137" s="4"/>
      <c r="Q137" s="4"/>
      <c r="R137" s="4"/>
      <c r="S137" s="4"/>
      <c r="T137" s="4"/>
      <c r="U137" s="4"/>
      <c r="V137" s="7"/>
      <c r="W137" s="8"/>
      <c r="X137" s="4"/>
    </row>
    <row r="138" spans="1:24" ht="15" customHeight="1">
      <c r="A138" s="4"/>
      <c r="B138" s="4"/>
      <c r="C138" s="5"/>
      <c r="D138" s="4"/>
      <c r="E138" s="5"/>
      <c r="F138" s="6"/>
      <c r="G138" s="5"/>
      <c r="H138" s="6"/>
      <c r="I138" s="5"/>
      <c r="J138" s="4"/>
      <c r="N138" s="4"/>
      <c r="O138" s="4"/>
      <c r="P138" s="4"/>
      <c r="Q138" s="4"/>
      <c r="R138" s="4"/>
      <c r="S138" s="4"/>
      <c r="T138" s="4"/>
      <c r="U138" s="4"/>
      <c r="V138" s="7"/>
      <c r="W138" s="8"/>
      <c r="X138" s="4"/>
    </row>
    <row r="139" spans="1:24" ht="15" customHeight="1">
      <c r="A139" s="4"/>
      <c r="B139" s="4"/>
      <c r="C139" s="5"/>
      <c r="D139" s="4"/>
      <c r="E139" s="5"/>
      <c r="F139" s="6"/>
      <c r="G139" s="5"/>
      <c r="H139" s="6"/>
      <c r="I139" s="5"/>
      <c r="J139" s="4"/>
      <c r="N139" s="4"/>
      <c r="O139" s="4"/>
      <c r="P139" s="4"/>
      <c r="Q139" s="4"/>
      <c r="R139" s="4"/>
      <c r="S139" s="4"/>
      <c r="T139" s="4"/>
      <c r="U139" s="4"/>
      <c r="V139" s="7"/>
      <c r="W139" s="8"/>
      <c r="X139" s="4"/>
    </row>
    <row r="140" spans="1:24" ht="15" customHeight="1">
      <c r="A140" s="4"/>
      <c r="B140" s="4"/>
      <c r="C140" s="5"/>
      <c r="D140" s="4"/>
      <c r="E140" s="5"/>
      <c r="F140" s="6"/>
      <c r="G140" s="5"/>
      <c r="H140" s="6"/>
      <c r="I140" s="5"/>
      <c r="J140" s="4"/>
      <c r="N140" s="4"/>
      <c r="O140" s="4"/>
      <c r="P140" s="4"/>
      <c r="Q140" s="4"/>
      <c r="R140" s="4"/>
      <c r="S140" s="4"/>
      <c r="T140" s="4"/>
      <c r="U140" s="4"/>
      <c r="V140" s="7"/>
      <c r="W140" s="8"/>
      <c r="X140" s="4"/>
    </row>
    <row r="141" spans="1:24" ht="15" customHeight="1">
      <c r="A141" s="4"/>
      <c r="B141" s="4"/>
      <c r="C141" s="5"/>
      <c r="D141" s="4"/>
      <c r="E141" s="5"/>
      <c r="F141" s="6"/>
      <c r="G141" s="5"/>
      <c r="H141" s="6"/>
      <c r="I141" s="5"/>
      <c r="J141" s="4"/>
      <c r="N141" s="4"/>
      <c r="O141" s="4"/>
      <c r="P141" s="4"/>
      <c r="Q141" s="4"/>
      <c r="R141" s="4"/>
      <c r="S141" s="4"/>
      <c r="T141" s="4"/>
      <c r="U141" s="4"/>
      <c r="V141" s="7"/>
      <c r="W141" s="8"/>
      <c r="X141" s="4"/>
    </row>
    <row r="142" spans="1:24" ht="15" customHeight="1">
      <c r="A142" s="4"/>
      <c r="B142" s="4"/>
      <c r="C142" s="5"/>
      <c r="D142" s="4"/>
      <c r="E142" s="5"/>
      <c r="F142" s="6"/>
      <c r="G142" s="5"/>
      <c r="H142" s="6"/>
      <c r="I142" s="5"/>
      <c r="J142" s="4"/>
      <c r="N142" s="4"/>
      <c r="O142" s="4"/>
      <c r="P142" s="4"/>
      <c r="Q142" s="4"/>
      <c r="R142" s="4"/>
      <c r="S142" s="4"/>
      <c r="T142" s="4"/>
      <c r="U142" s="4"/>
      <c r="V142" s="7"/>
      <c r="W142" s="8"/>
      <c r="X142" s="4"/>
    </row>
    <row r="143" spans="1:24" ht="15" customHeight="1">
      <c r="A143" s="4"/>
      <c r="B143" s="4"/>
      <c r="C143" s="5"/>
      <c r="D143" s="4"/>
      <c r="E143" s="5"/>
      <c r="F143" s="6"/>
      <c r="G143" s="5"/>
      <c r="H143" s="6"/>
      <c r="I143" s="5"/>
      <c r="J143" s="4"/>
      <c r="N143" s="4"/>
      <c r="O143" s="4"/>
      <c r="P143" s="4"/>
      <c r="Q143" s="4"/>
      <c r="R143" s="4"/>
      <c r="S143" s="4"/>
      <c r="T143" s="4"/>
      <c r="U143" s="4"/>
      <c r="V143" s="7"/>
      <c r="W143" s="8"/>
      <c r="X143" s="4"/>
    </row>
    <row r="144" spans="1:24" ht="15" customHeight="1">
      <c r="A144" s="4"/>
      <c r="B144" s="4"/>
      <c r="C144" s="5"/>
      <c r="D144" s="4"/>
      <c r="E144" s="5"/>
      <c r="F144" s="6"/>
      <c r="G144" s="5"/>
      <c r="H144" s="6"/>
      <c r="I144" s="5"/>
      <c r="J144" s="4"/>
      <c r="N144" s="4"/>
      <c r="O144" s="4"/>
      <c r="P144" s="4"/>
      <c r="Q144" s="4"/>
      <c r="R144" s="4"/>
      <c r="S144" s="4"/>
      <c r="T144" s="4"/>
      <c r="U144" s="4"/>
      <c r="V144" s="7"/>
      <c r="W144" s="8"/>
      <c r="X144" s="4"/>
    </row>
    <row r="145" spans="1:24" ht="15" customHeight="1">
      <c r="A145" s="4"/>
      <c r="B145" s="4"/>
      <c r="C145" s="5"/>
      <c r="D145" s="4"/>
      <c r="E145" s="5"/>
      <c r="F145" s="6"/>
      <c r="G145" s="5"/>
      <c r="H145" s="6"/>
      <c r="I145" s="5"/>
      <c r="J145" s="4"/>
      <c r="N145" s="4"/>
      <c r="O145" s="4"/>
      <c r="P145" s="4"/>
      <c r="Q145" s="4"/>
      <c r="R145" s="4"/>
      <c r="S145" s="4"/>
      <c r="T145" s="4"/>
      <c r="U145" s="4"/>
      <c r="V145" s="7"/>
      <c r="W145" s="8"/>
      <c r="X145" s="4"/>
    </row>
    <row r="146" spans="1:24" ht="15" customHeight="1">
      <c r="A146" s="4"/>
      <c r="B146" s="4"/>
      <c r="C146" s="5"/>
      <c r="D146" s="4"/>
      <c r="E146" s="5"/>
      <c r="F146" s="6"/>
      <c r="G146" s="5"/>
      <c r="H146" s="6"/>
      <c r="I146" s="5"/>
      <c r="J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7"/>
      <c r="W146" s="8"/>
      <c r="X146" s="4"/>
    </row>
    <row r="147" spans="1:24" ht="15" customHeight="1">
      <c r="A147" s="4"/>
      <c r="B147" s="4"/>
      <c r="C147" s="5"/>
      <c r="D147" s="4"/>
      <c r="E147" s="5"/>
      <c r="F147" s="6"/>
      <c r="G147" s="5"/>
      <c r="H147" s="6"/>
      <c r="I147" s="5"/>
      <c r="J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7"/>
      <c r="W147" s="8"/>
      <c r="X147" s="4"/>
    </row>
    <row r="148" spans="1:24" ht="15" customHeight="1">
      <c r="A148" s="4"/>
      <c r="B148" s="4"/>
      <c r="C148" s="5"/>
      <c r="D148" s="4"/>
      <c r="E148" s="5"/>
      <c r="F148" s="6"/>
      <c r="G148" s="5"/>
      <c r="H148" s="6"/>
      <c r="I148" s="5"/>
      <c r="J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7"/>
      <c r="W148" s="8"/>
      <c r="X148" s="4"/>
    </row>
    <row r="149" spans="1:24" ht="15" customHeight="1">
      <c r="A149" s="4"/>
      <c r="B149" s="4"/>
      <c r="C149" s="5"/>
      <c r="D149" s="4"/>
      <c r="E149" s="5"/>
      <c r="F149" s="6"/>
      <c r="G149" s="5"/>
      <c r="H149" s="6"/>
      <c r="I149" s="5"/>
      <c r="J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7"/>
      <c r="W149" s="8"/>
      <c r="X149" s="4"/>
    </row>
    <row r="150" spans="1:24" ht="15" customHeight="1">
      <c r="A150" s="4"/>
      <c r="B150" s="4"/>
      <c r="C150" s="5"/>
      <c r="D150" s="4"/>
      <c r="E150" s="5"/>
      <c r="F150" s="6"/>
      <c r="G150" s="5"/>
      <c r="H150" s="6"/>
      <c r="I150" s="5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7"/>
      <c r="W150" s="8"/>
      <c r="X150" s="4"/>
    </row>
    <row r="151" spans="1:24" ht="15" customHeight="1">
      <c r="A151" s="4"/>
      <c r="B151" s="4"/>
      <c r="C151" s="5"/>
      <c r="D151" s="4"/>
      <c r="E151" s="5"/>
      <c r="F151" s="6"/>
      <c r="G151" s="5"/>
      <c r="H151" s="6"/>
      <c r="I151" s="5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7"/>
      <c r="W151" s="8"/>
      <c r="X151" s="4"/>
    </row>
    <row r="152" spans="1:24" ht="15" customHeight="1">
      <c r="A152" s="4"/>
      <c r="B152" s="4"/>
      <c r="C152" s="5"/>
      <c r="D152" s="4"/>
      <c r="E152" s="5"/>
      <c r="F152" s="6"/>
      <c r="G152" s="5"/>
      <c r="H152" s="6"/>
      <c r="I152" s="5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7"/>
      <c r="W152" s="8"/>
      <c r="X152" s="4"/>
    </row>
    <row r="153" spans="1:24" ht="15" customHeight="1">
      <c r="A153" s="4"/>
      <c r="B153" s="4"/>
      <c r="C153" s="5"/>
      <c r="D153" s="4"/>
      <c r="E153" s="5"/>
      <c r="F153" s="6"/>
      <c r="G153" s="5"/>
      <c r="H153" s="6"/>
      <c r="I153" s="5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7"/>
      <c r="W153" s="8"/>
      <c r="X153" s="4"/>
    </row>
    <row r="154" spans="1:24" ht="15" customHeight="1">
      <c r="A154" s="4"/>
      <c r="B154" s="4"/>
      <c r="C154" s="5"/>
      <c r="D154" s="4"/>
      <c r="E154" s="5"/>
      <c r="F154" s="6"/>
      <c r="G154" s="5"/>
      <c r="H154" s="6"/>
      <c r="I154" s="5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7"/>
      <c r="W154" s="8"/>
      <c r="X154" s="4"/>
    </row>
    <row r="155" spans="1:24" ht="15" customHeight="1">
      <c r="A155" s="4"/>
      <c r="B155" s="4"/>
      <c r="C155" s="5"/>
      <c r="D155" s="4"/>
      <c r="E155" s="5"/>
      <c r="F155" s="6"/>
      <c r="G155" s="5"/>
      <c r="H155" s="6"/>
      <c r="I155" s="5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7"/>
      <c r="W155" s="8"/>
      <c r="X155" s="4"/>
    </row>
    <row r="156" spans="1:24" ht="15" customHeight="1">
      <c r="A156" s="4"/>
      <c r="B156" s="4"/>
      <c r="C156" s="5"/>
      <c r="D156" s="4"/>
      <c r="E156" s="5"/>
      <c r="F156" s="6"/>
      <c r="G156" s="5"/>
      <c r="H156" s="6"/>
      <c r="I156" s="5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7"/>
      <c r="W156" s="8"/>
      <c r="X156" s="4"/>
    </row>
    <row r="157" spans="1:24" ht="15" customHeight="1">
      <c r="A157" s="4"/>
      <c r="B157" s="4"/>
      <c r="C157" s="5"/>
      <c r="D157" s="4"/>
      <c r="E157" s="5"/>
      <c r="F157" s="6"/>
      <c r="G157" s="5"/>
      <c r="H157" s="6"/>
      <c r="I157" s="5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7"/>
      <c r="W157" s="8"/>
      <c r="X157" s="4"/>
    </row>
    <row r="158" spans="1:24" ht="15" customHeight="1">
      <c r="A158" s="4"/>
      <c r="B158" s="4"/>
      <c r="C158" s="5"/>
      <c r="D158" s="4"/>
      <c r="E158" s="5"/>
      <c r="F158" s="6"/>
      <c r="G158" s="5"/>
      <c r="H158" s="6"/>
      <c r="I158" s="5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7"/>
      <c r="W158" s="8"/>
      <c r="X158" s="4"/>
    </row>
    <row r="159" spans="1:24" ht="15" customHeight="1">
      <c r="A159" s="4"/>
      <c r="B159" s="4"/>
      <c r="C159" s="5"/>
      <c r="D159" s="4"/>
      <c r="E159" s="5"/>
      <c r="F159" s="6"/>
      <c r="G159" s="5"/>
      <c r="H159" s="6"/>
      <c r="I159" s="5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7"/>
      <c r="W159" s="8"/>
      <c r="X159" s="4"/>
    </row>
    <row r="160" spans="1:24" ht="15" customHeight="1">
      <c r="A160" s="4"/>
      <c r="B160" s="4"/>
      <c r="C160" s="5"/>
      <c r="D160" s="4"/>
      <c r="E160" s="5"/>
      <c r="F160" s="6"/>
      <c r="G160" s="5"/>
      <c r="H160" s="6"/>
      <c r="I160" s="5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7"/>
      <c r="W160" s="8"/>
      <c r="X160" s="4"/>
    </row>
    <row r="161" spans="1:24" ht="15" customHeight="1">
      <c r="A161" s="4"/>
      <c r="B161" s="4"/>
      <c r="C161" s="5"/>
      <c r="D161" s="4"/>
      <c r="E161" s="5"/>
      <c r="F161" s="6"/>
      <c r="G161" s="5"/>
      <c r="H161" s="6"/>
      <c r="I161" s="5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7"/>
      <c r="W161" s="8"/>
      <c r="X161" s="4"/>
    </row>
    <row r="162" spans="1:24" ht="15" customHeight="1">
      <c r="A162" s="4"/>
      <c r="B162" s="4"/>
      <c r="C162" s="5"/>
      <c r="D162" s="4"/>
      <c r="E162" s="5"/>
      <c r="F162" s="6"/>
      <c r="G162" s="5"/>
      <c r="H162" s="6"/>
      <c r="I162" s="5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7"/>
      <c r="W162" s="8"/>
      <c r="X162" s="4"/>
    </row>
    <row r="163" spans="1:24" ht="15" customHeight="1">
      <c r="A163" s="4"/>
      <c r="B163" s="4"/>
      <c r="C163" s="5"/>
      <c r="D163" s="4"/>
      <c r="E163" s="5"/>
      <c r="F163" s="6"/>
      <c r="G163" s="5"/>
      <c r="H163" s="6"/>
      <c r="I163" s="5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7"/>
      <c r="W163" s="8"/>
      <c r="X163" s="4"/>
    </row>
    <row r="164" spans="1:24" ht="15" customHeight="1">
      <c r="A164" s="4"/>
      <c r="B164" s="4"/>
      <c r="C164" s="5"/>
      <c r="D164" s="4"/>
      <c r="E164" s="5"/>
      <c r="F164" s="6"/>
      <c r="G164" s="5"/>
      <c r="H164" s="6"/>
      <c r="I164" s="5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7"/>
      <c r="W164" s="8"/>
      <c r="X164" s="4"/>
    </row>
    <row r="165" spans="1:24" ht="15" customHeight="1">
      <c r="A165" s="4"/>
      <c r="B165" s="4"/>
      <c r="C165" s="5"/>
      <c r="D165" s="4"/>
      <c r="E165" s="5"/>
      <c r="F165" s="6"/>
      <c r="G165" s="5"/>
      <c r="H165" s="6"/>
      <c r="I165" s="5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7"/>
      <c r="W165" s="8"/>
      <c r="X165" s="4"/>
    </row>
    <row r="166" spans="1:24" ht="15" customHeight="1">
      <c r="A166" s="4"/>
      <c r="B166" s="4"/>
      <c r="C166" s="5"/>
      <c r="D166" s="4"/>
      <c r="E166" s="5"/>
      <c r="F166" s="6"/>
      <c r="G166" s="5"/>
      <c r="H166" s="6"/>
      <c r="I166" s="5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7"/>
      <c r="W166" s="8"/>
      <c r="X166" s="4"/>
    </row>
    <row r="167" spans="1:24" ht="15" customHeight="1">
      <c r="A167" s="4"/>
      <c r="B167" s="4"/>
      <c r="C167" s="5"/>
      <c r="D167" s="4"/>
      <c r="E167" s="5"/>
      <c r="F167" s="6"/>
      <c r="G167" s="5"/>
      <c r="H167" s="6"/>
      <c r="I167" s="5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7"/>
      <c r="W167" s="8"/>
      <c r="X167" s="4"/>
    </row>
    <row r="168" spans="1:24" ht="15" customHeight="1">
      <c r="A168" s="4"/>
      <c r="B168" s="4"/>
      <c r="C168" s="5"/>
      <c r="D168" s="4"/>
      <c r="E168" s="5"/>
      <c r="F168" s="6"/>
      <c r="G168" s="5"/>
      <c r="H168" s="6"/>
      <c r="I168" s="5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7"/>
      <c r="W168" s="8"/>
      <c r="X168" s="4"/>
    </row>
    <row r="169" spans="1:24" ht="15" customHeight="1">
      <c r="A169" s="4"/>
      <c r="B169" s="4"/>
      <c r="C169" s="5"/>
      <c r="D169" s="4"/>
      <c r="E169" s="5"/>
      <c r="F169" s="6"/>
      <c r="G169" s="5"/>
      <c r="H169" s="6"/>
      <c r="I169" s="5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7"/>
      <c r="W169" s="8"/>
      <c r="X169" s="4"/>
    </row>
    <row r="170" spans="1:24" ht="15" customHeight="1">
      <c r="A170" s="4"/>
      <c r="B170" s="4"/>
      <c r="C170" s="5"/>
      <c r="D170" s="4"/>
      <c r="E170" s="5"/>
      <c r="F170" s="6"/>
      <c r="G170" s="5"/>
      <c r="H170" s="6"/>
      <c r="I170" s="5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7"/>
      <c r="W170" s="8"/>
      <c r="X170" s="4"/>
    </row>
    <row r="171" spans="1:24" ht="15" customHeight="1">
      <c r="A171" s="4"/>
      <c r="B171" s="4"/>
      <c r="C171" s="5"/>
      <c r="D171" s="4"/>
      <c r="E171" s="5"/>
      <c r="F171" s="6"/>
      <c r="G171" s="5"/>
      <c r="H171" s="6"/>
      <c r="I171" s="5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7"/>
      <c r="W171" s="8"/>
      <c r="X171" s="4"/>
    </row>
    <row r="172" spans="1:24" ht="15" customHeight="1">
      <c r="A172" s="4"/>
      <c r="B172" s="4"/>
      <c r="C172" s="5"/>
      <c r="D172" s="4"/>
      <c r="E172" s="5"/>
      <c r="F172" s="6"/>
      <c r="G172" s="5"/>
      <c r="H172" s="6"/>
      <c r="I172" s="5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7"/>
      <c r="W172" s="8"/>
      <c r="X172" s="4"/>
    </row>
    <row r="173" spans="1:24" ht="15" customHeight="1">
      <c r="A173" s="4"/>
      <c r="B173" s="4"/>
      <c r="C173" s="5"/>
      <c r="D173" s="4"/>
      <c r="E173" s="5"/>
      <c r="F173" s="6"/>
      <c r="G173" s="5"/>
      <c r="H173" s="6"/>
      <c r="I173" s="5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7"/>
      <c r="W173" s="8"/>
      <c r="X173" s="4"/>
    </row>
    <row r="174" spans="1:24" ht="15" customHeight="1">
      <c r="A174" s="4"/>
      <c r="B174" s="4"/>
      <c r="C174" s="5"/>
      <c r="D174" s="4"/>
      <c r="E174" s="5"/>
      <c r="F174" s="6"/>
      <c r="G174" s="5"/>
      <c r="H174" s="6"/>
      <c r="I174" s="5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7"/>
      <c r="W174" s="8"/>
      <c r="X174" s="4"/>
    </row>
    <row r="175" spans="1:24" ht="15" customHeight="1">
      <c r="A175" s="4"/>
      <c r="B175" s="4"/>
      <c r="C175" s="5"/>
      <c r="D175" s="4"/>
      <c r="E175" s="5"/>
      <c r="F175" s="6"/>
      <c r="G175" s="5"/>
      <c r="H175" s="6"/>
      <c r="I175" s="5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7"/>
      <c r="W175" s="8"/>
      <c r="X175" s="4"/>
    </row>
    <row r="176" spans="1:24" ht="15" customHeight="1">
      <c r="A176" s="4"/>
      <c r="B176" s="4"/>
      <c r="C176" s="5"/>
      <c r="D176" s="4"/>
      <c r="E176" s="5"/>
      <c r="F176" s="6"/>
      <c r="G176" s="5"/>
      <c r="H176" s="6"/>
      <c r="I176" s="5"/>
      <c r="J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7"/>
      <c r="W176" s="8"/>
      <c r="X176" s="4"/>
    </row>
    <row r="177" spans="1:24" ht="15" customHeight="1">
      <c r="A177" s="4"/>
      <c r="B177" s="4"/>
      <c r="C177" s="5"/>
      <c r="D177" s="4"/>
      <c r="E177" s="5"/>
      <c r="F177" s="6"/>
      <c r="G177" s="5"/>
      <c r="H177" s="6"/>
      <c r="I177" s="5"/>
      <c r="J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7"/>
      <c r="W177" s="8"/>
      <c r="X177" s="4"/>
    </row>
    <row r="178" spans="1:24" ht="15" customHeight="1">
      <c r="A178" s="4"/>
      <c r="B178" s="4"/>
      <c r="C178" s="5"/>
      <c r="D178" s="4"/>
      <c r="E178" s="5"/>
      <c r="F178" s="6"/>
      <c r="G178" s="5"/>
      <c r="H178" s="6"/>
      <c r="I178" s="5"/>
      <c r="J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7"/>
      <c r="W178" s="8"/>
      <c r="X178" s="4"/>
    </row>
    <row r="179" spans="1:24" ht="15" customHeight="1">
      <c r="A179" s="4"/>
      <c r="B179" s="4"/>
      <c r="C179" s="5"/>
      <c r="D179" s="4"/>
      <c r="E179" s="5"/>
      <c r="F179" s="6"/>
      <c r="G179" s="5"/>
      <c r="H179" s="6"/>
      <c r="I179" s="5"/>
      <c r="J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7"/>
      <c r="W179" s="8"/>
      <c r="X179" s="4"/>
    </row>
    <row r="180" spans="1:24" ht="15" customHeight="1">
      <c r="A180" s="4"/>
      <c r="B180" s="4"/>
      <c r="C180" s="5"/>
      <c r="D180" s="4"/>
      <c r="E180" s="5"/>
      <c r="F180" s="6"/>
      <c r="G180" s="5"/>
      <c r="H180" s="6"/>
      <c r="I180" s="5"/>
      <c r="J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7"/>
      <c r="W180" s="8"/>
      <c r="X180" s="4"/>
    </row>
    <row r="181" spans="1:24" ht="15" customHeight="1">
      <c r="A181" s="4"/>
      <c r="B181" s="4"/>
      <c r="C181" s="5"/>
      <c r="D181" s="4"/>
      <c r="E181" s="5"/>
      <c r="F181" s="6"/>
      <c r="G181" s="5"/>
      <c r="H181" s="6"/>
      <c r="I181" s="5"/>
      <c r="J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7"/>
      <c r="W181" s="8"/>
      <c r="X181" s="4"/>
    </row>
    <row r="182" spans="1:24" ht="15" customHeight="1">
      <c r="A182" s="4"/>
      <c r="B182" s="4"/>
      <c r="C182" s="5"/>
      <c r="D182" s="4"/>
      <c r="E182" s="5"/>
      <c r="F182" s="6"/>
      <c r="G182" s="5"/>
      <c r="H182" s="6"/>
      <c r="I182" s="5"/>
      <c r="J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7"/>
      <c r="W182" s="8"/>
      <c r="X182" s="4"/>
    </row>
    <row r="183" spans="1:24" ht="15" customHeight="1">
      <c r="A183" s="4"/>
      <c r="B183" s="4"/>
      <c r="C183" s="5"/>
      <c r="D183" s="4"/>
      <c r="E183" s="5"/>
      <c r="F183" s="6"/>
      <c r="G183" s="5"/>
      <c r="H183" s="6"/>
      <c r="I183" s="5"/>
      <c r="J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7"/>
      <c r="W183" s="8"/>
      <c r="X183" s="4"/>
    </row>
    <row r="184" spans="1:24" ht="15" customHeight="1">
      <c r="A184" s="4"/>
      <c r="B184" s="4"/>
      <c r="C184" s="5"/>
      <c r="D184" s="4"/>
      <c r="E184" s="5"/>
      <c r="F184" s="6"/>
      <c r="G184" s="5"/>
      <c r="H184" s="6"/>
      <c r="I184" s="5"/>
      <c r="J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7"/>
      <c r="W184" s="8"/>
      <c r="X184" s="4"/>
    </row>
    <row r="185" spans="1:24" ht="15" customHeight="1">
      <c r="A185" s="4"/>
      <c r="B185" s="4"/>
      <c r="C185" s="5"/>
      <c r="D185" s="4"/>
      <c r="E185" s="5"/>
      <c r="F185" s="6"/>
      <c r="G185" s="5"/>
      <c r="H185" s="6"/>
      <c r="I185" s="5"/>
      <c r="J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7"/>
      <c r="W185" s="8"/>
      <c r="X185" s="4"/>
    </row>
    <row r="186" spans="1:24" ht="15" customHeight="1">
      <c r="A186" s="4"/>
      <c r="B186" s="4"/>
      <c r="C186" s="5"/>
      <c r="D186" s="4"/>
      <c r="E186" s="5"/>
      <c r="F186" s="6"/>
      <c r="G186" s="5"/>
      <c r="H186" s="6"/>
      <c r="I186" s="5"/>
      <c r="J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7"/>
      <c r="W186" s="8"/>
      <c r="X186" s="4"/>
    </row>
    <row r="187" spans="1:24" ht="15" customHeight="1">
      <c r="A187" s="4"/>
      <c r="B187" s="4"/>
      <c r="C187" s="5"/>
      <c r="D187" s="4"/>
      <c r="E187" s="5"/>
      <c r="F187" s="6"/>
      <c r="G187" s="5"/>
      <c r="H187" s="6"/>
      <c r="I187" s="5"/>
      <c r="J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7"/>
      <c r="W187" s="8"/>
      <c r="X187" s="4"/>
    </row>
    <row r="188" spans="1:24" ht="15" customHeight="1">
      <c r="A188" s="4"/>
      <c r="B188" s="4"/>
      <c r="C188" s="5"/>
      <c r="D188" s="4"/>
      <c r="E188" s="5"/>
      <c r="F188" s="6"/>
      <c r="G188" s="5"/>
      <c r="H188" s="6"/>
      <c r="I188" s="5"/>
      <c r="J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7"/>
      <c r="W188" s="8"/>
      <c r="X188" s="4"/>
    </row>
    <row r="189" spans="1:24" ht="15" customHeight="1">
      <c r="A189" s="4"/>
      <c r="B189" s="4"/>
      <c r="C189" s="5"/>
      <c r="D189" s="4"/>
      <c r="E189" s="5"/>
      <c r="F189" s="6"/>
      <c r="G189" s="5"/>
      <c r="H189" s="6"/>
      <c r="I189" s="5"/>
      <c r="J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7"/>
      <c r="W189" s="8"/>
      <c r="X189" s="4"/>
    </row>
    <row r="190" spans="1:24" ht="15" customHeight="1">
      <c r="A190" s="4"/>
      <c r="B190" s="4"/>
      <c r="C190" s="5"/>
      <c r="D190" s="4"/>
      <c r="E190" s="5"/>
      <c r="F190" s="6"/>
      <c r="G190" s="5"/>
      <c r="H190" s="6"/>
      <c r="I190" s="5"/>
      <c r="J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7"/>
      <c r="W190" s="8"/>
      <c r="X190" s="4"/>
    </row>
    <row r="191" spans="1:24" ht="15" customHeight="1">
      <c r="A191" s="4"/>
      <c r="B191" s="4"/>
      <c r="C191" s="5"/>
      <c r="D191" s="4"/>
      <c r="E191" s="5"/>
      <c r="F191" s="6"/>
      <c r="G191" s="5"/>
      <c r="H191" s="6"/>
      <c r="I191" s="5"/>
      <c r="J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7"/>
      <c r="W191" s="8"/>
      <c r="X191" s="4"/>
    </row>
    <row r="192" spans="1:24" ht="15" customHeight="1">
      <c r="A192" s="4"/>
      <c r="B192" s="4"/>
      <c r="C192" s="5"/>
      <c r="D192" s="4"/>
      <c r="E192" s="5"/>
      <c r="F192" s="6"/>
      <c r="G192" s="5"/>
      <c r="H192" s="6"/>
      <c r="I192" s="5"/>
      <c r="J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7"/>
      <c r="W192" s="8"/>
      <c r="X192" s="4"/>
    </row>
    <row r="193" spans="1:24" ht="15" customHeight="1">
      <c r="A193" s="4"/>
      <c r="B193" s="4"/>
      <c r="C193" s="5"/>
      <c r="D193" s="4"/>
      <c r="E193" s="5"/>
      <c r="F193" s="6"/>
      <c r="G193" s="5"/>
      <c r="H193" s="6"/>
      <c r="I193" s="5"/>
      <c r="J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7"/>
      <c r="W193" s="8"/>
      <c r="X193" s="4"/>
    </row>
    <row r="194" spans="1:24" ht="15" customHeight="1">
      <c r="A194" s="4"/>
      <c r="B194" s="4"/>
      <c r="C194" s="5"/>
      <c r="D194" s="4"/>
      <c r="E194" s="5"/>
      <c r="F194" s="6"/>
      <c r="G194" s="5"/>
      <c r="H194" s="6"/>
      <c r="I194" s="5"/>
      <c r="J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7"/>
      <c r="W194" s="8"/>
      <c r="X194" s="4"/>
    </row>
    <row r="195" spans="1:24" ht="15" customHeight="1">
      <c r="A195" s="4"/>
      <c r="B195" s="4"/>
      <c r="C195" s="5"/>
      <c r="D195" s="4"/>
      <c r="E195" s="5"/>
      <c r="F195" s="6"/>
      <c r="G195" s="5"/>
      <c r="H195" s="6"/>
      <c r="I195" s="5"/>
      <c r="J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7"/>
      <c r="W195" s="8"/>
      <c r="X195" s="4"/>
    </row>
    <row r="196" spans="1:24" ht="15" customHeight="1">
      <c r="A196" s="4"/>
      <c r="B196" s="4"/>
      <c r="C196" s="5"/>
      <c r="D196" s="4"/>
      <c r="E196" s="5"/>
      <c r="F196" s="6"/>
      <c r="G196" s="5"/>
      <c r="H196" s="6"/>
      <c r="I196" s="5"/>
      <c r="J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7"/>
      <c r="W196" s="8"/>
      <c r="X196" s="4"/>
    </row>
    <row r="197" spans="1:24" ht="15" customHeight="1">
      <c r="A197" s="4"/>
      <c r="B197" s="4"/>
      <c r="C197" s="5"/>
      <c r="D197" s="4"/>
      <c r="E197" s="5"/>
      <c r="F197" s="6"/>
      <c r="G197" s="5"/>
      <c r="H197" s="6"/>
      <c r="I197" s="5"/>
      <c r="J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7"/>
      <c r="W197" s="8"/>
      <c r="X197" s="4"/>
    </row>
    <row r="198" spans="1:24" ht="15" customHeight="1">
      <c r="A198" s="4"/>
      <c r="B198" s="4"/>
      <c r="C198" s="5"/>
      <c r="D198" s="4"/>
      <c r="E198" s="5"/>
      <c r="F198" s="6"/>
      <c r="G198" s="5"/>
      <c r="H198" s="6"/>
      <c r="I198" s="5"/>
      <c r="J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7"/>
      <c r="W198" s="8"/>
      <c r="X198" s="4"/>
    </row>
    <row r="199" spans="1:24" ht="15" customHeight="1">
      <c r="A199" s="4"/>
      <c r="B199" s="4"/>
      <c r="C199" s="5"/>
      <c r="D199" s="4"/>
      <c r="E199" s="5"/>
      <c r="F199" s="6"/>
      <c r="G199" s="5"/>
      <c r="H199" s="6"/>
      <c r="I199" s="5"/>
      <c r="J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7"/>
      <c r="W199" s="8"/>
      <c r="X199" s="4"/>
    </row>
    <row r="200" spans="1:24" ht="15" customHeight="1"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7"/>
      <c r="W200" s="8"/>
      <c r="X200" s="4"/>
    </row>
    <row r="201" spans="1:24" ht="15" customHeight="1"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7"/>
      <c r="W201" s="8"/>
      <c r="X201" s="4"/>
    </row>
    <row r="202" spans="1:24" ht="15" customHeight="1"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7"/>
      <c r="W202" s="8"/>
      <c r="X202" s="4"/>
    </row>
    <row r="203" spans="1:24" ht="15" customHeight="1"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7"/>
      <c r="W203" s="8"/>
      <c r="X203" s="4"/>
    </row>
    <row r="204" spans="1:24" ht="15" customHeight="1"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7"/>
      <c r="W204" s="8"/>
      <c r="X204" s="4"/>
    </row>
    <row r="205" spans="1:24" ht="15" customHeight="1"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7"/>
      <c r="W205" s="8"/>
      <c r="X205" s="4"/>
    </row>
    <row r="206" spans="1:24" ht="15" customHeight="1"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7"/>
      <c r="W206" s="8"/>
      <c r="X206" s="4"/>
    </row>
    <row r="207" spans="1:24" ht="15" customHeight="1"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7"/>
      <c r="W207" s="8"/>
      <c r="X207" s="4"/>
    </row>
    <row r="208" spans="1:24" ht="15" customHeight="1"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7"/>
      <c r="W208" s="8"/>
      <c r="X208" s="4"/>
    </row>
    <row r="209" spans="12:24" ht="15" customHeight="1"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7"/>
      <c r="W209" s="8"/>
      <c r="X209" s="4"/>
    </row>
    <row r="210" spans="12:24" ht="15" customHeight="1"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7"/>
      <c r="W210" s="8"/>
      <c r="X210" s="4"/>
    </row>
    <row r="211" spans="12:24" ht="15" customHeight="1"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7"/>
      <c r="W211" s="8"/>
      <c r="X211" s="4"/>
    </row>
    <row r="212" spans="12:24" ht="15" customHeight="1"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7"/>
      <c r="W212" s="8"/>
      <c r="X212" s="4"/>
    </row>
    <row r="213" spans="12:24" ht="15" customHeight="1"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7"/>
      <c r="W213" s="8"/>
      <c r="X213" s="4"/>
    </row>
    <row r="214" spans="12:24" ht="15" customHeight="1"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7"/>
      <c r="W214" s="8"/>
      <c r="X214" s="4"/>
    </row>
    <row r="215" spans="12:24" ht="15" customHeight="1"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7"/>
      <c r="W215" s="8"/>
      <c r="X215" s="4"/>
    </row>
    <row r="216" spans="12:24" ht="15" customHeight="1"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7"/>
      <c r="W216" s="8"/>
      <c r="X216" s="4"/>
    </row>
    <row r="217" spans="12:24" ht="15" customHeight="1"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7"/>
      <c r="W217" s="8"/>
      <c r="X217" s="4"/>
    </row>
    <row r="218" spans="12:24" ht="15" customHeight="1"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7"/>
      <c r="W218" s="8"/>
      <c r="X218" s="4"/>
    </row>
    <row r="219" spans="12:24" ht="15" customHeight="1"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7"/>
      <c r="W219" s="8"/>
      <c r="X219" s="4"/>
    </row>
    <row r="220" spans="12:24" ht="15" customHeight="1"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7"/>
      <c r="W220" s="8"/>
      <c r="X220" s="4"/>
    </row>
    <row r="221" spans="12:24" ht="15" customHeight="1"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7"/>
      <c r="W221" s="8"/>
      <c r="X221" s="4"/>
    </row>
    <row r="222" spans="12:24" ht="15" customHeight="1"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7"/>
      <c r="W222" s="8"/>
      <c r="X222" s="4"/>
    </row>
    <row r="223" spans="12:24" ht="15" customHeight="1"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7"/>
      <c r="W223" s="8"/>
      <c r="X223" s="4"/>
    </row>
    <row r="224" spans="12:24" ht="15" customHeight="1"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7"/>
      <c r="W224" s="8"/>
      <c r="X224" s="4"/>
    </row>
    <row r="225" spans="11:24" ht="15" customHeight="1"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7"/>
      <c r="W225" s="8"/>
      <c r="X225" s="4"/>
    </row>
    <row r="226" spans="11:24" ht="15" customHeight="1"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7"/>
      <c r="W226" s="8"/>
      <c r="X226" s="4"/>
    </row>
    <row r="250" spans="11:11" ht="15" customHeight="1">
      <c r="K250" s="4"/>
    </row>
    <row r="275" spans="11:11" ht="15" customHeight="1">
      <c r="K275" s="4"/>
    </row>
    <row r="300" spans="11:11" ht="15" customHeight="1">
      <c r="K300" s="4"/>
    </row>
    <row r="301" spans="11:11" ht="15" customHeight="1">
      <c r="K301" s="4"/>
    </row>
    <row r="302" spans="11:11" ht="15" customHeight="1">
      <c r="K302" s="4"/>
    </row>
    <row r="303" spans="11:11" ht="15" customHeight="1">
      <c r="K303" s="4"/>
    </row>
    <row r="304" spans="11:11" ht="15" customHeight="1">
      <c r="K304" s="4"/>
    </row>
    <row r="305" spans="11:11" ht="15" customHeight="1">
      <c r="K305" s="4"/>
    </row>
    <row r="306" spans="11:11" ht="15" customHeight="1">
      <c r="K306" s="4"/>
    </row>
    <row r="307" spans="11:11" ht="15" customHeight="1">
      <c r="K307" s="4"/>
    </row>
    <row r="308" spans="11:11" ht="15" customHeight="1">
      <c r="K308" s="4"/>
    </row>
    <row r="309" spans="11:11" ht="15" customHeight="1">
      <c r="K309" s="4"/>
    </row>
    <row r="310" spans="11:11" ht="15" customHeight="1">
      <c r="K310" s="4"/>
    </row>
    <row r="311" spans="11:11" ht="15" customHeight="1">
      <c r="K311" s="4"/>
    </row>
    <row r="312" spans="11:11" ht="15" customHeight="1">
      <c r="K312" s="4"/>
    </row>
    <row r="313" spans="11:11" ht="15" customHeight="1">
      <c r="K313" s="4"/>
    </row>
    <row r="314" spans="11:11" ht="15" customHeight="1">
      <c r="K314" s="4"/>
    </row>
    <row r="315" spans="11:11" ht="15" customHeight="1">
      <c r="K315" s="4"/>
    </row>
    <row r="316" spans="11:11" ht="15" customHeight="1">
      <c r="K316" s="4"/>
    </row>
    <row r="317" spans="11:11" ht="15" customHeight="1">
      <c r="K317" s="4"/>
    </row>
    <row r="318" spans="11:11" ht="15" customHeight="1">
      <c r="K318" s="4"/>
    </row>
    <row r="319" spans="11:11" ht="15" customHeight="1">
      <c r="K319" s="4"/>
    </row>
    <row r="320" spans="11:11" ht="15" customHeight="1">
      <c r="K320" s="4"/>
    </row>
    <row r="321" spans="11:11" ht="15" customHeight="1">
      <c r="K321" s="4"/>
    </row>
    <row r="322" spans="11:11" ht="15" customHeight="1">
      <c r="K322" s="4"/>
    </row>
    <row r="323" spans="11:11" ht="15" customHeight="1">
      <c r="K323" s="4"/>
    </row>
    <row r="324" spans="11:11" ht="15" customHeight="1">
      <c r="K324" s="4"/>
    </row>
    <row r="325" spans="11:11" ht="15" customHeight="1">
      <c r="K325" s="4"/>
    </row>
  </sheetData>
  <sheetProtection formatCells="0" formatColumns="0" formatRows="0" deleteColumns="0" deleteRows="0" sort="0" autoFilter="0"/>
  <protectedRanges>
    <protectedRange sqref="L1:M1048576 K3:K75 K100 K125 K150:K175 K200 K225 K250 K275 K300:K1048576 A3:J1048576 A1:K2" name="data"/>
  </protectedRange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Z352"/>
  <sheetViews>
    <sheetView showGridLines="0" zoomScale="80" zoomScaleNormal="80" workbookViewId="0">
      <selection activeCell="A3" sqref="A3:M302"/>
    </sheetView>
  </sheetViews>
  <sheetFormatPr defaultColWidth="15.7109375" defaultRowHeight="15" customHeight="1"/>
  <cols>
    <col min="1" max="2" width="10.7109375" style="11" customWidth="1"/>
    <col min="3" max="3" width="20.7109375" style="11" customWidth="1"/>
    <col min="4" max="4" width="10.7109375" style="13" customWidth="1"/>
    <col min="5" max="5" width="20.7109375" style="11" customWidth="1"/>
    <col min="6" max="6" width="10.7109375" style="13" customWidth="1"/>
    <col min="7" max="7" width="15.7109375" style="12"/>
    <col min="8" max="8" width="15.7109375" style="13"/>
    <col min="9" max="9" width="15.7109375" style="12"/>
    <col min="10" max="10" width="15.7109375" style="13"/>
    <col min="11" max="11" width="15.7109375" style="11" customWidth="1"/>
    <col min="12" max="12" width="15.7109375" style="12"/>
    <col min="13" max="13" width="15.7109375" style="11" customWidth="1"/>
    <col min="14" max="16384" width="15.7109375" style="11"/>
  </cols>
  <sheetData>
    <row r="1" spans="1:26" ht="24.95" customHeight="1">
      <c r="A1" s="1" t="s">
        <v>21</v>
      </c>
      <c r="B1" s="1" t="s">
        <v>1</v>
      </c>
      <c r="C1" s="1" t="s">
        <v>2</v>
      </c>
      <c r="D1" s="1" t="s">
        <v>0</v>
      </c>
      <c r="E1" s="1" t="s">
        <v>3</v>
      </c>
      <c r="F1" s="1" t="s">
        <v>13</v>
      </c>
      <c r="G1" s="2" t="s">
        <v>8</v>
      </c>
      <c r="H1" s="3" t="s">
        <v>10</v>
      </c>
      <c r="I1" s="2" t="s">
        <v>9</v>
      </c>
      <c r="J1" s="3" t="s">
        <v>11</v>
      </c>
      <c r="K1" s="1" t="s">
        <v>14</v>
      </c>
      <c r="L1" s="2" t="s">
        <v>158</v>
      </c>
      <c r="M1" s="1" t="s">
        <v>33</v>
      </c>
    </row>
    <row r="2" spans="1:26" ht="24.95" customHeight="1" thickBot="1">
      <c r="A2" s="9"/>
      <c r="B2" s="9"/>
      <c r="C2" s="9"/>
      <c r="D2" s="9" t="s">
        <v>4</v>
      </c>
      <c r="E2" s="9"/>
      <c r="F2" s="9" t="s">
        <v>4</v>
      </c>
      <c r="G2" s="10" t="s">
        <v>5</v>
      </c>
      <c r="H2" s="9" t="s">
        <v>4</v>
      </c>
      <c r="I2" s="10" t="s">
        <v>5</v>
      </c>
      <c r="J2" s="9" t="s">
        <v>4</v>
      </c>
      <c r="K2" s="9" t="s">
        <v>6</v>
      </c>
      <c r="L2" s="10"/>
      <c r="M2" s="9"/>
    </row>
    <row r="3" spans="1:26" ht="15" customHeight="1" thickTop="1">
      <c r="Q3" s="22" t="s">
        <v>23</v>
      </c>
    </row>
    <row r="4" spans="1:26" ht="15" customHeight="1">
      <c r="A4" s="4"/>
      <c r="B4" s="4"/>
      <c r="C4" s="4"/>
      <c r="D4" s="5"/>
      <c r="E4" s="4"/>
      <c r="F4" s="5"/>
      <c r="G4" s="6"/>
      <c r="H4" s="5"/>
      <c r="I4" s="6"/>
      <c r="J4" s="5"/>
      <c r="K4" s="4"/>
      <c r="L4" s="6"/>
      <c r="M4" s="4"/>
      <c r="Q4" s="23" t="s">
        <v>24</v>
      </c>
    </row>
    <row r="5" spans="1:26" ht="15" customHeight="1">
      <c r="A5" s="4"/>
      <c r="B5" s="4"/>
      <c r="C5" s="4"/>
      <c r="D5" s="5"/>
      <c r="E5" s="4"/>
      <c r="F5" s="5"/>
      <c r="G5" s="6"/>
      <c r="H5" s="5"/>
      <c r="I5" s="6"/>
      <c r="J5" s="5"/>
      <c r="K5" s="4"/>
      <c r="L5" s="6"/>
      <c r="M5" s="4"/>
      <c r="Q5" s="23" t="s">
        <v>25</v>
      </c>
    </row>
    <row r="6" spans="1:26" ht="15" customHeight="1">
      <c r="A6" s="4"/>
      <c r="B6" s="4"/>
      <c r="C6" s="4"/>
      <c r="D6" s="5"/>
      <c r="E6" s="4"/>
      <c r="F6" s="5"/>
      <c r="G6" s="6"/>
      <c r="H6" s="5"/>
      <c r="I6" s="6"/>
      <c r="J6" s="5"/>
      <c r="K6" s="4"/>
      <c r="L6" s="6"/>
      <c r="M6" s="4"/>
      <c r="Q6" s="23" t="s">
        <v>26</v>
      </c>
    </row>
    <row r="7" spans="1:26" ht="15" customHeight="1">
      <c r="A7" s="4"/>
      <c r="B7" s="4"/>
      <c r="C7" s="4"/>
      <c r="D7" s="5"/>
      <c r="E7" s="4"/>
      <c r="F7" s="5"/>
      <c r="G7" s="6"/>
      <c r="H7" s="5"/>
      <c r="I7" s="6"/>
      <c r="J7" s="5"/>
      <c r="K7" s="4"/>
      <c r="L7" s="6"/>
      <c r="M7" s="4"/>
      <c r="Q7" s="23" t="s">
        <v>27</v>
      </c>
    </row>
    <row r="8" spans="1:26" ht="15" customHeight="1">
      <c r="A8" s="4"/>
      <c r="B8" s="4"/>
      <c r="C8" s="4"/>
      <c r="D8" s="5"/>
      <c r="E8" s="4"/>
      <c r="F8" s="5"/>
      <c r="G8" s="6"/>
      <c r="H8" s="5"/>
      <c r="I8" s="6"/>
      <c r="J8" s="5"/>
      <c r="K8" s="4"/>
      <c r="L8" s="6"/>
      <c r="M8" s="4"/>
      <c r="N8" s="4"/>
      <c r="O8" s="4"/>
      <c r="P8" s="4"/>
      <c r="Q8" s="23" t="s">
        <v>28</v>
      </c>
      <c r="R8" s="4"/>
      <c r="S8" s="4"/>
      <c r="T8" s="4"/>
      <c r="U8" s="4"/>
      <c r="V8" s="4"/>
      <c r="W8" s="4"/>
      <c r="X8" s="7"/>
      <c r="Y8" s="8"/>
      <c r="Z8" s="4"/>
    </row>
    <row r="9" spans="1:26" ht="15" customHeight="1">
      <c r="A9" s="4"/>
      <c r="B9" s="4"/>
      <c r="C9" s="4"/>
      <c r="D9" s="5"/>
      <c r="E9" s="4"/>
      <c r="F9" s="5"/>
      <c r="G9" s="6"/>
      <c r="H9" s="5"/>
      <c r="I9" s="6"/>
      <c r="J9" s="5"/>
      <c r="K9" s="4"/>
      <c r="L9" s="6"/>
      <c r="M9" s="4"/>
      <c r="N9" s="4"/>
      <c r="O9" s="4"/>
      <c r="P9" s="4"/>
      <c r="Q9" s="21"/>
      <c r="R9" s="4"/>
      <c r="S9" s="4"/>
      <c r="T9" s="4"/>
      <c r="U9" s="4"/>
      <c r="V9" s="4"/>
      <c r="W9" s="4"/>
      <c r="X9" s="7"/>
      <c r="Y9" s="8"/>
      <c r="Z9" s="4"/>
    </row>
    <row r="10" spans="1:26" ht="15" customHeight="1">
      <c r="A10" s="4"/>
      <c r="B10" s="4"/>
      <c r="C10" s="4"/>
      <c r="D10" s="5"/>
      <c r="E10" s="4"/>
      <c r="F10" s="5"/>
      <c r="G10" s="6"/>
      <c r="H10" s="5"/>
      <c r="I10" s="6"/>
      <c r="J10" s="5"/>
      <c r="K10" s="4"/>
      <c r="L10" s="6"/>
      <c r="M10" s="4"/>
      <c r="N10" s="4"/>
      <c r="O10" s="4"/>
      <c r="P10" s="4"/>
      <c r="R10" s="4"/>
      <c r="S10" s="4"/>
      <c r="T10" s="4"/>
      <c r="U10" s="4"/>
      <c r="V10" s="4"/>
      <c r="W10" s="4"/>
      <c r="X10" s="7"/>
      <c r="Y10" s="8"/>
      <c r="Z10" s="4"/>
    </row>
    <row r="11" spans="1:26" ht="15" customHeight="1">
      <c r="A11" s="4"/>
      <c r="B11" s="4"/>
      <c r="C11" s="4"/>
      <c r="D11" s="5"/>
      <c r="E11" s="4"/>
      <c r="F11" s="5"/>
      <c r="G11" s="6"/>
      <c r="H11" s="5"/>
      <c r="I11" s="6"/>
      <c r="J11" s="5"/>
      <c r="K11" s="4"/>
      <c r="L11" s="6"/>
      <c r="M11" s="4"/>
      <c r="N11" s="4"/>
      <c r="O11" s="4"/>
      <c r="P11" s="4"/>
      <c r="R11" s="4"/>
      <c r="S11" s="4"/>
      <c r="T11" s="4"/>
      <c r="U11" s="4"/>
      <c r="V11" s="4"/>
      <c r="W11" s="4"/>
      <c r="X11" s="7"/>
      <c r="Y11" s="8"/>
      <c r="Z11" s="4"/>
    </row>
    <row r="12" spans="1:26" ht="15" customHeight="1">
      <c r="A12" s="4"/>
      <c r="B12" s="4"/>
      <c r="C12" s="4"/>
      <c r="D12" s="5"/>
      <c r="E12" s="4"/>
      <c r="F12" s="5"/>
      <c r="G12" s="6"/>
      <c r="H12" s="5"/>
      <c r="I12" s="6"/>
      <c r="J12" s="5"/>
      <c r="K12" s="4"/>
      <c r="L12" s="6"/>
      <c r="M12" s="4"/>
      <c r="N12" s="4"/>
      <c r="O12" s="4"/>
      <c r="P12" s="4"/>
      <c r="R12" s="4"/>
      <c r="S12" s="4"/>
      <c r="T12" s="4"/>
      <c r="U12" s="4"/>
      <c r="V12" s="4"/>
      <c r="W12" s="4"/>
      <c r="X12" s="7"/>
      <c r="Y12" s="8"/>
      <c r="Z12" s="4"/>
    </row>
    <row r="13" spans="1:26" ht="15" customHeight="1">
      <c r="A13" s="4"/>
      <c r="B13" s="4"/>
      <c r="C13" s="4"/>
      <c r="D13" s="5"/>
      <c r="E13" s="4"/>
      <c r="F13" s="5"/>
      <c r="G13" s="6"/>
      <c r="H13" s="5"/>
      <c r="I13" s="6"/>
      <c r="J13" s="5"/>
      <c r="K13" s="4"/>
      <c r="L13" s="6"/>
      <c r="M13" s="4"/>
      <c r="N13" s="4"/>
      <c r="O13" s="4"/>
      <c r="P13" s="4"/>
      <c r="R13" s="4"/>
      <c r="S13" s="4"/>
      <c r="T13" s="4"/>
      <c r="U13" s="4"/>
      <c r="V13" s="4"/>
      <c r="W13" s="4"/>
      <c r="X13" s="7"/>
      <c r="Y13" s="8"/>
      <c r="Z13" s="4"/>
    </row>
    <row r="14" spans="1:26" ht="15" customHeight="1">
      <c r="A14" s="4"/>
      <c r="B14" s="4"/>
      <c r="C14" s="4"/>
      <c r="D14" s="5"/>
      <c r="E14" s="4"/>
      <c r="F14" s="5"/>
      <c r="G14" s="6"/>
      <c r="H14" s="5"/>
      <c r="I14" s="6"/>
      <c r="J14" s="5"/>
      <c r="K14" s="4"/>
      <c r="L14" s="6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/>
      <c r="Y14" s="8"/>
      <c r="Z14" s="4"/>
    </row>
    <row r="15" spans="1:26" ht="15" customHeight="1">
      <c r="A15" s="4"/>
      <c r="B15" s="4"/>
      <c r="C15" s="4"/>
      <c r="D15" s="5"/>
      <c r="E15" s="4"/>
      <c r="F15" s="5"/>
      <c r="G15" s="6"/>
      <c r="H15" s="5"/>
      <c r="I15" s="6"/>
      <c r="J15" s="5"/>
      <c r="K15" s="4"/>
      <c r="L15" s="6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/>
      <c r="Y15" s="8"/>
      <c r="Z15" s="4"/>
    </row>
    <row r="16" spans="1:26" ht="15" customHeight="1">
      <c r="A16" s="4"/>
      <c r="B16" s="4"/>
      <c r="C16" s="4"/>
      <c r="D16" s="5"/>
      <c r="E16" s="4"/>
      <c r="F16" s="5"/>
      <c r="G16" s="6"/>
      <c r="H16" s="5"/>
      <c r="I16" s="6"/>
      <c r="J16" s="5"/>
      <c r="K16" s="4"/>
      <c r="L16" s="6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/>
      <c r="Y16" s="8"/>
      <c r="Z16" s="4"/>
    </row>
    <row r="17" spans="1:26" ht="15" customHeight="1">
      <c r="A17" s="4"/>
      <c r="B17" s="4"/>
      <c r="C17" s="4"/>
      <c r="D17" s="5"/>
      <c r="E17" s="4"/>
      <c r="F17" s="5"/>
      <c r="G17" s="6"/>
      <c r="H17" s="5"/>
      <c r="I17" s="6"/>
      <c r="J17" s="5"/>
      <c r="K17" s="4"/>
      <c r="L17" s="6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/>
      <c r="Y17" s="8"/>
      <c r="Z17" s="4"/>
    </row>
    <row r="18" spans="1:26" ht="15" customHeight="1">
      <c r="A18" s="4"/>
      <c r="B18" s="4"/>
      <c r="C18" s="4"/>
      <c r="D18" s="5"/>
      <c r="E18" s="4"/>
      <c r="F18" s="5"/>
      <c r="G18" s="6"/>
      <c r="H18" s="5"/>
      <c r="I18" s="6"/>
      <c r="J18" s="5"/>
      <c r="K18" s="4"/>
      <c r="L18" s="6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/>
      <c r="Y18" s="8"/>
      <c r="Z18" s="4"/>
    </row>
    <row r="19" spans="1:26" ht="15" customHeight="1">
      <c r="A19" s="4"/>
      <c r="B19" s="4"/>
      <c r="C19" s="4"/>
      <c r="D19" s="5"/>
      <c r="E19" s="4"/>
      <c r="F19" s="5"/>
      <c r="G19" s="6"/>
      <c r="H19" s="5"/>
      <c r="I19" s="6"/>
      <c r="J19" s="5"/>
      <c r="K19" s="4"/>
      <c r="L19" s="6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/>
      <c r="Y19" s="8"/>
      <c r="Z19" s="4"/>
    </row>
    <row r="20" spans="1:26" ht="15" customHeight="1">
      <c r="A20" s="4"/>
      <c r="B20" s="4"/>
      <c r="C20" s="4"/>
      <c r="D20" s="5"/>
      <c r="E20" s="4"/>
      <c r="F20" s="5"/>
      <c r="G20" s="6"/>
      <c r="H20" s="5"/>
      <c r="I20" s="6"/>
      <c r="J20" s="5"/>
      <c r="K20" s="4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/>
      <c r="Y20" s="8"/>
      <c r="Z20" s="4"/>
    </row>
    <row r="21" spans="1:26" ht="15" customHeight="1">
      <c r="A21" s="4"/>
      <c r="B21" s="4"/>
      <c r="C21" s="4"/>
      <c r="D21" s="5"/>
      <c r="E21" s="4"/>
      <c r="F21" s="5"/>
      <c r="G21" s="6"/>
      <c r="H21" s="5"/>
      <c r="I21" s="6"/>
      <c r="J21" s="5"/>
      <c r="K21" s="4"/>
      <c r="L21" s="6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/>
      <c r="Y21" s="8"/>
      <c r="Z21" s="4"/>
    </row>
    <row r="22" spans="1:26" ht="15" customHeight="1">
      <c r="A22" s="4"/>
      <c r="B22" s="4"/>
      <c r="C22" s="4"/>
      <c r="D22" s="5"/>
      <c r="E22" s="4"/>
      <c r="F22" s="5"/>
      <c r="G22" s="6"/>
      <c r="H22" s="5"/>
      <c r="I22" s="6"/>
      <c r="J22" s="5"/>
      <c r="K22" s="4"/>
      <c r="L22" s="6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/>
      <c r="Y22" s="8"/>
      <c r="Z22" s="4"/>
    </row>
    <row r="23" spans="1:26" ht="15" customHeight="1">
      <c r="A23" s="4"/>
      <c r="B23" s="4"/>
      <c r="C23" s="4"/>
      <c r="D23" s="5"/>
      <c r="E23" s="4"/>
      <c r="F23" s="5"/>
      <c r="G23" s="6"/>
      <c r="H23" s="5"/>
      <c r="I23" s="6"/>
      <c r="J23" s="5"/>
      <c r="K23" s="4"/>
      <c r="L23" s="6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/>
      <c r="Y23" s="8"/>
      <c r="Z23" s="4"/>
    </row>
    <row r="24" spans="1:26" ht="15" customHeight="1">
      <c r="A24" s="4"/>
      <c r="B24" s="4"/>
      <c r="C24" s="4"/>
      <c r="D24" s="5"/>
      <c r="E24" s="4"/>
      <c r="F24" s="5"/>
      <c r="G24" s="6"/>
      <c r="H24" s="5"/>
      <c r="I24" s="6"/>
      <c r="J24" s="5"/>
      <c r="K24" s="4"/>
      <c r="L24" s="6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/>
      <c r="Y24" s="8"/>
      <c r="Z24" s="4"/>
    </row>
    <row r="25" spans="1:26" ht="15" customHeight="1">
      <c r="A25" s="4"/>
      <c r="B25" s="4"/>
      <c r="C25" s="4"/>
      <c r="D25" s="5"/>
      <c r="E25" s="4"/>
      <c r="F25" s="5"/>
      <c r="G25" s="6"/>
      <c r="H25" s="5"/>
      <c r="I25" s="6"/>
      <c r="J25" s="5"/>
      <c r="K25" s="4"/>
      <c r="L25" s="6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/>
      <c r="Y25" s="8"/>
      <c r="Z25" s="4"/>
    </row>
    <row r="26" spans="1:26" ht="15" customHeight="1">
      <c r="A26" s="4"/>
      <c r="B26" s="4"/>
      <c r="C26" s="4"/>
      <c r="D26" s="5"/>
      <c r="E26" s="4"/>
      <c r="F26" s="5"/>
      <c r="G26" s="6"/>
      <c r="H26" s="5"/>
      <c r="I26" s="6"/>
      <c r="J26" s="5"/>
      <c r="K26" s="4"/>
      <c r="L26" s="6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/>
      <c r="Y26" s="8"/>
      <c r="Z26" s="4"/>
    </row>
    <row r="27" spans="1:26" ht="15" customHeight="1">
      <c r="A27" s="4"/>
      <c r="B27" s="4"/>
      <c r="C27" s="4"/>
      <c r="D27" s="5"/>
      <c r="E27" s="4"/>
      <c r="F27" s="5"/>
      <c r="G27" s="6"/>
      <c r="H27" s="5"/>
      <c r="I27" s="6"/>
      <c r="J27" s="5"/>
      <c r="K27" s="4"/>
      <c r="L27" s="6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/>
      <c r="Y27" s="8"/>
      <c r="Z27" s="4"/>
    </row>
    <row r="28" spans="1:26" ht="15" customHeight="1">
      <c r="A28" s="4"/>
      <c r="B28" s="4"/>
      <c r="C28" s="4"/>
      <c r="D28" s="5"/>
      <c r="E28" s="4"/>
      <c r="F28" s="5"/>
      <c r="G28" s="6"/>
      <c r="H28" s="5"/>
      <c r="I28" s="6"/>
      <c r="J28" s="5"/>
      <c r="K28" s="4"/>
      <c r="L28" s="6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/>
      <c r="Y28" s="8"/>
      <c r="Z28" s="4"/>
    </row>
    <row r="29" spans="1:26" ht="15" customHeight="1">
      <c r="A29" s="4"/>
      <c r="B29" s="4"/>
      <c r="C29" s="4"/>
      <c r="D29" s="5"/>
      <c r="E29" s="4"/>
      <c r="F29" s="5"/>
      <c r="G29" s="6"/>
      <c r="H29" s="5"/>
      <c r="I29" s="6"/>
      <c r="J29" s="5"/>
      <c r="K29" s="4"/>
      <c r="L29" s="6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/>
      <c r="Y29" s="8"/>
      <c r="Z29" s="4"/>
    </row>
    <row r="30" spans="1:26" ht="15" customHeight="1">
      <c r="A30" s="4"/>
      <c r="B30" s="4"/>
      <c r="C30" s="4"/>
      <c r="D30" s="5"/>
      <c r="E30" s="4"/>
      <c r="F30" s="5"/>
      <c r="G30" s="6"/>
      <c r="H30" s="5"/>
      <c r="I30" s="6"/>
      <c r="J30" s="5"/>
      <c r="K30" s="4"/>
      <c r="L30" s="6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/>
      <c r="Y30" s="8"/>
      <c r="Z30" s="4"/>
    </row>
    <row r="31" spans="1:26" ht="15" customHeight="1">
      <c r="A31" s="4"/>
      <c r="B31" s="4"/>
      <c r="C31" s="4"/>
      <c r="D31" s="5"/>
      <c r="E31" s="4"/>
      <c r="F31" s="5"/>
      <c r="G31" s="6"/>
      <c r="H31" s="5"/>
      <c r="I31" s="6"/>
      <c r="J31" s="5"/>
      <c r="K31" s="4"/>
      <c r="L31" s="6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/>
      <c r="Y31" s="8"/>
      <c r="Z31" s="4"/>
    </row>
    <row r="32" spans="1:26" ht="15" customHeight="1">
      <c r="A32" s="4"/>
      <c r="B32" s="4"/>
      <c r="C32" s="4"/>
      <c r="D32" s="5"/>
      <c r="E32" s="4"/>
      <c r="F32" s="5"/>
      <c r="G32" s="6"/>
      <c r="H32" s="5"/>
      <c r="I32" s="6"/>
      <c r="J32" s="5"/>
      <c r="K32" s="4"/>
      <c r="L32" s="6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/>
      <c r="Y32" s="8"/>
      <c r="Z32" s="4"/>
    </row>
    <row r="33" spans="1:26" ht="15" customHeight="1">
      <c r="A33" s="4"/>
      <c r="B33" s="4"/>
      <c r="C33" s="4"/>
      <c r="D33" s="5"/>
      <c r="E33" s="4"/>
      <c r="F33" s="5"/>
      <c r="G33" s="6"/>
      <c r="H33" s="5"/>
      <c r="I33" s="6"/>
      <c r="J33" s="5"/>
      <c r="K33" s="4"/>
      <c r="L33" s="6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/>
      <c r="Y33" s="8"/>
      <c r="Z33" s="4"/>
    </row>
    <row r="34" spans="1:26" ht="15" customHeight="1">
      <c r="A34" s="4"/>
      <c r="B34" s="4"/>
      <c r="C34" s="4"/>
      <c r="D34" s="5"/>
      <c r="E34" s="4"/>
      <c r="F34" s="5"/>
      <c r="G34" s="6"/>
      <c r="H34" s="5"/>
      <c r="I34" s="6"/>
      <c r="J34" s="5"/>
      <c r="K34" s="4"/>
      <c r="L34" s="6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/>
      <c r="Y34" s="8"/>
      <c r="Z34" s="4"/>
    </row>
    <row r="35" spans="1:26" ht="15" customHeight="1">
      <c r="A35" s="4"/>
      <c r="B35" s="4"/>
      <c r="C35" s="4"/>
      <c r="D35" s="5"/>
      <c r="E35" s="4"/>
      <c r="F35" s="5"/>
      <c r="G35" s="6"/>
      <c r="H35" s="5"/>
      <c r="I35" s="6"/>
      <c r="J35" s="5"/>
      <c r="K35" s="4"/>
      <c r="L35" s="6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/>
      <c r="Y35" s="8"/>
      <c r="Z35" s="4"/>
    </row>
    <row r="36" spans="1:26" ht="15" customHeight="1">
      <c r="A36" s="4"/>
      <c r="B36" s="4"/>
      <c r="C36" s="4"/>
      <c r="D36" s="5"/>
      <c r="E36" s="4"/>
      <c r="F36" s="5"/>
      <c r="G36" s="6"/>
      <c r="H36" s="5"/>
      <c r="I36" s="6"/>
      <c r="J36" s="5"/>
      <c r="K36" s="4"/>
      <c r="L36" s="6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/>
      <c r="Y36" s="8"/>
      <c r="Z36" s="4"/>
    </row>
    <row r="37" spans="1:26" ht="15" customHeight="1">
      <c r="A37" s="4"/>
      <c r="B37" s="4"/>
      <c r="C37" s="4"/>
      <c r="D37" s="5"/>
      <c r="E37" s="4"/>
      <c r="F37" s="5"/>
      <c r="G37" s="6"/>
      <c r="H37" s="5"/>
      <c r="I37" s="6"/>
      <c r="J37" s="5"/>
      <c r="K37" s="4"/>
      <c r="L37" s="6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/>
      <c r="Y37" s="8"/>
      <c r="Z37" s="4"/>
    </row>
    <row r="38" spans="1:26" ht="15" customHeight="1">
      <c r="A38" s="4"/>
      <c r="B38" s="4"/>
      <c r="C38" s="4"/>
      <c r="D38" s="5"/>
      <c r="E38" s="4"/>
      <c r="F38" s="5"/>
      <c r="G38" s="6"/>
      <c r="H38" s="5"/>
      <c r="I38" s="6"/>
      <c r="J38" s="5"/>
      <c r="K38" s="4"/>
      <c r="L38" s="6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/>
      <c r="Y38" s="8"/>
      <c r="Z38" s="4"/>
    </row>
    <row r="39" spans="1:26" ht="15" customHeight="1">
      <c r="A39" s="4"/>
      <c r="B39" s="4"/>
      <c r="C39" s="4"/>
      <c r="D39" s="5"/>
      <c r="E39" s="4"/>
      <c r="F39" s="5"/>
      <c r="G39" s="6"/>
      <c r="H39" s="5"/>
      <c r="I39" s="6"/>
      <c r="J39" s="5"/>
      <c r="K39" s="4"/>
      <c r="L39" s="6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/>
      <c r="Y39" s="8"/>
      <c r="Z39" s="4"/>
    </row>
    <row r="40" spans="1:26" ht="15" customHeight="1">
      <c r="A40" s="4"/>
      <c r="B40" s="4"/>
      <c r="C40" s="4"/>
      <c r="D40" s="5"/>
      <c r="E40" s="4"/>
      <c r="F40" s="5"/>
      <c r="G40" s="6"/>
      <c r="H40" s="5"/>
      <c r="I40" s="6"/>
      <c r="J40" s="5"/>
      <c r="K40" s="4"/>
      <c r="L40" s="6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/>
      <c r="Y40" s="8"/>
      <c r="Z40" s="4"/>
    </row>
    <row r="41" spans="1:26" ht="15" customHeight="1">
      <c r="A41" s="4"/>
      <c r="B41" s="4"/>
      <c r="C41" s="4"/>
      <c r="D41" s="5"/>
      <c r="E41" s="4"/>
      <c r="F41" s="5"/>
      <c r="G41" s="6"/>
      <c r="H41" s="5"/>
      <c r="I41" s="6"/>
      <c r="J41" s="5"/>
      <c r="K41" s="4"/>
      <c r="L41" s="6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/>
      <c r="Y41" s="8"/>
      <c r="Z41" s="4"/>
    </row>
    <row r="42" spans="1:26" ht="15" customHeight="1">
      <c r="A42" s="4"/>
      <c r="B42" s="4"/>
      <c r="C42" s="4"/>
      <c r="D42" s="5"/>
      <c r="E42" s="4"/>
      <c r="F42" s="5"/>
      <c r="G42" s="6"/>
      <c r="H42" s="5"/>
      <c r="I42" s="6"/>
      <c r="J42" s="5"/>
      <c r="K42" s="4"/>
      <c r="L42" s="6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/>
      <c r="Y42" s="8"/>
      <c r="Z42" s="4"/>
    </row>
    <row r="43" spans="1:26" ht="15" customHeight="1">
      <c r="A43" s="4"/>
      <c r="B43" s="4"/>
      <c r="C43" s="4"/>
      <c r="D43" s="5"/>
      <c r="E43" s="4"/>
      <c r="F43" s="5"/>
      <c r="G43" s="6"/>
      <c r="H43" s="5"/>
      <c r="I43" s="6"/>
      <c r="J43" s="5"/>
      <c r="K43" s="4"/>
      <c r="L43" s="6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/>
      <c r="Y43" s="8"/>
      <c r="Z43" s="4"/>
    </row>
    <row r="44" spans="1:26" ht="15" customHeight="1">
      <c r="A44" s="4"/>
      <c r="B44" s="4"/>
      <c r="C44" s="4"/>
      <c r="D44" s="5"/>
      <c r="E44" s="4"/>
      <c r="F44" s="5"/>
      <c r="G44" s="6"/>
      <c r="H44" s="5"/>
      <c r="I44" s="6"/>
      <c r="J44" s="5"/>
      <c r="K44" s="4"/>
      <c r="L44" s="6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/>
      <c r="Y44" s="8"/>
      <c r="Z44" s="4"/>
    </row>
    <row r="45" spans="1:26" ht="15" customHeight="1">
      <c r="A45" s="4"/>
      <c r="B45" s="4"/>
      <c r="C45" s="4"/>
      <c r="D45" s="5"/>
      <c r="E45" s="4"/>
      <c r="F45" s="5"/>
      <c r="G45" s="6"/>
      <c r="H45" s="5"/>
      <c r="I45" s="6"/>
      <c r="J45" s="5"/>
      <c r="K45" s="4"/>
      <c r="L45" s="6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/>
      <c r="Y45" s="8"/>
      <c r="Z45" s="4"/>
    </row>
    <row r="46" spans="1:26" ht="15" customHeight="1">
      <c r="A46" s="4"/>
      <c r="B46" s="4"/>
      <c r="C46" s="4"/>
      <c r="D46" s="5"/>
      <c r="E46" s="4"/>
      <c r="F46" s="5"/>
      <c r="G46" s="6"/>
      <c r="H46" s="5"/>
      <c r="I46" s="6"/>
      <c r="J46" s="5"/>
      <c r="K46" s="4"/>
      <c r="L46" s="6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/>
      <c r="Y46" s="8"/>
      <c r="Z46" s="4"/>
    </row>
    <row r="47" spans="1:26" ht="15" customHeight="1">
      <c r="A47" s="4"/>
      <c r="B47" s="4"/>
      <c r="C47" s="4"/>
      <c r="D47" s="5"/>
      <c r="E47" s="4"/>
      <c r="F47" s="5"/>
      <c r="G47" s="6"/>
      <c r="H47" s="5"/>
      <c r="I47" s="6"/>
      <c r="J47" s="5"/>
      <c r="K47" s="4"/>
      <c r="L47" s="6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/>
      <c r="Y47" s="8"/>
      <c r="Z47" s="4"/>
    </row>
    <row r="48" spans="1:26" ht="15" customHeight="1">
      <c r="A48" s="4"/>
      <c r="B48" s="4"/>
      <c r="C48" s="4"/>
      <c r="D48" s="5"/>
      <c r="E48" s="4"/>
      <c r="F48" s="5"/>
      <c r="G48" s="6"/>
      <c r="H48" s="5"/>
      <c r="I48" s="6"/>
      <c r="J48" s="5"/>
      <c r="K48" s="4"/>
      <c r="L48" s="6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/>
      <c r="Y48" s="8"/>
      <c r="Z48" s="4"/>
    </row>
    <row r="49" spans="1:26" ht="15" customHeight="1">
      <c r="A49" s="4"/>
      <c r="B49" s="4"/>
      <c r="C49" s="4"/>
      <c r="D49" s="5"/>
      <c r="E49" s="4"/>
      <c r="F49" s="5"/>
      <c r="G49" s="6"/>
      <c r="H49" s="5"/>
      <c r="I49" s="6"/>
      <c r="J49" s="5"/>
      <c r="K49" s="4"/>
      <c r="L49" s="6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/>
      <c r="Y49" s="8"/>
      <c r="Z49" s="4"/>
    </row>
    <row r="50" spans="1:26" ht="15" customHeight="1">
      <c r="A50" s="4"/>
      <c r="B50" s="4"/>
      <c r="C50" s="4"/>
      <c r="D50" s="5"/>
      <c r="E50" s="4"/>
      <c r="F50" s="5"/>
      <c r="G50" s="6"/>
      <c r="H50" s="5"/>
      <c r="I50" s="6"/>
      <c r="J50" s="5"/>
      <c r="K50" s="4"/>
      <c r="L50" s="6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/>
      <c r="Y50" s="8"/>
      <c r="Z50" s="4"/>
    </row>
    <row r="51" spans="1:26" ht="15" customHeight="1">
      <c r="A51" s="4"/>
      <c r="B51" s="4"/>
      <c r="C51" s="4"/>
      <c r="D51" s="5"/>
      <c r="E51" s="4"/>
      <c r="F51" s="5"/>
      <c r="G51" s="6"/>
      <c r="H51" s="5"/>
      <c r="I51" s="6"/>
      <c r="J51" s="5"/>
      <c r="K51" s="4"/>
      <c r="L51" s="6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/>
      <c r="Y51" s="8"/>
      <c r="Z51" s="4"/>
    </row>
    <row r="52" spans="1:26" ht="15" customHeight="1">
      <c r="A52" s="4"/>
      <c r="B52" s="4"/>
      <c r="C52" s="4"/>
      <c r="D52" s="5"/>
      <c r="E52" s="4"/>
      <c r="F52" s="5"/>
      <c r="G52" s="6"/>
      <c r="H52" s="5"/>
      <c r="I52" s="6"/>
      <c r="J52" s="5"/>
      <c r="K52" s="4"/>
      <c r="L52" s="6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/>
      <c r="Y52" s="8"/>
      <c r="Z52" s="4"/>
    </row>
    <row r="53" spans="1:26" ht="15" customHeight="1">
      <c r="A53" s="4"/>
      <c r="B53" s="4"/>
      <c r="C53" s="4"/>
      <c r="D53" s="5"/>
      <c r="E53" s="4"/>
      <c r="F53" s="5"/>
      <c r="G53" s="6"/>
      <c r="H53" s="5"/>
      <c r="I53" s="6"/>
      <c r="J53" s="5"/>
      <c r="K53" s="4"/>
      <c r="L53" s="6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/>
      <c r="Y53" s="8"/>
      <c r="Z53" s="4"/>
    </row>
    <row r="54" spans="1:26" ht="15" customHeight="1">
      <c r="A54" s="4"/>
      <c r="B54" s="4"/>
      <c r="C54" s="4"/>
      <c r="D54" s="5"/>
      <c r="E54" s="4"/>
      <c r="F54" s="5"/>
      <c r="G54" s="6"/>
      <c r="H54" s="5"/>
      <c r="I54" s="6"/>
      <c r="J54" s="5"/>
      <c r="K54" s="4"/>
      <c r="L54" s="6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/>
      <c r="Y54" s="8"/>
      <c r="Z54" s="4"/>
    </row>
    <row r="55" spans="1:26" ht="15" customHeight="1">
      <c r="A55" s="4"/>
      <c r="B55" s="4"/>
      <c r="C55" s="4"/>
      <c r="D55" s="5"/>
      <c r="E55" s="4"/>
      <c r="F55" s="5"/>
      <c r="G55" s="6"/>
      <c r="H55" s="5"/>
      <c r="I55" s="6"/>
      <c r="J55" s="5"/>
      <c r="K55" s="4"/>
      <c r="L55" s="6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/>
      <c r="Y55" s="8"/>
      <c r="Z55" s="4"/>
    </row>
    <row r="56" spans="1:26" ht="15" customHeight="1">
      <c r="A56" s="4"/>
      <c r="B56" s="4"/>
      <c r="C56" s="4"/>
      <c r="D56" s="5"/>
      <c r="E56" s="4"/>
      <c r="F56" s="5"/>
      <c r="G56" s="6"/>
      <c r="H56" s="5"/>
      <c r="I56" s="6"/>
      <c r="J56" s="5"/>
      <c r="K56" s="4"/>
      <c r="L56" s="6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/>
      <c r="Y56" s="8"/>
      <c r="Z56" s="4"/>
    </row>
    <row r="57" spans="1:26" ht="15" customHeight="1">
      <c r="A57" s="4"/>
      <c r="B57" s="4"/>
      <c r="C57" s="4"/>
      <c r="D57" s="5"/>
      <c r="E57" s="4"/>
      <c r="F57" s="5"/>
      <c r="G57" s="6"/>
      <c r="H57" s="5"/>
      <c r="I57" s="6"/>
      <c r="J57" s="5"/>
      <c r="K57" s="4"/>
      <c r="L57" s="6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/>
      <c r="Y57" s="8"/>
      <c r="Z57" s="4"/>
    </row>
    <row r="58" spans="1:26" ht="15" customHeight="1">
      <c r="A58" s="4"/>
      <c r="B58" s="4"/>
      <c r="C58" s="4"/>
      <c r="D58" s="5"/>
      <c r="E58" s="4"/>
      <c r="F58" s="5"/>
      <c r="G58" s="6"/>
      <c r="H58" s="5"/>
      <c r="I58" s="6"/>
      <c r="J58" s="5"/>
      <c r="K58" s="4"/>
      <c r="L58" s="6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/>
      <c r="Y58" s="8"/>
      <c r="Z58" s="4"/>
    </row>
    <row r="59" spans="1:26" ht="15" customHeight="1">
      <c r="A59" s="4"/>
      <c r="B59" s="4"/>
      <c r="C59" s="4"/>
      <c r="D59" s="5"/>
      <c r="E59" s="4"/>
      <c r="F59" s="5"/>
      <c r="G59" s="6"/>
      <c r="H59" s="5"/>
      <c r="I59" s="6"/>
      <c r="J59" s="5"/>
      <c r="K59" s="4"/>
      <c r="L59" s="6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/>
      <c r="Y59" s="8"/>
      <c r="Z59" s="4"/>
    </row>
    <row r="60" spans="1:26" ht="15" customHeight="1">
      <c r="A60" s="4"/>
      <c r="B60" s="4"/>
      <c r="C60" s="4"/>
      <c r="D60" s="5"/>
      <c r="E60" s="4"/>
      <c r="F60" s="5"/>
      <c r="G60" s="6"/>
      <c r="H60" s="5"/>
      <c r="I60" s="6"/>
      <c r="J60" s="5"/>
      <c r="K60" s="4"/>
      <c r="L60" s="6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/>
      <c r="Y60" s="8"/>
      <c r="Z60" s="4"/>
    </row>
    <row r="61" spans="1:26" ht="15" customHeight="1">
      <c r="A61" s="4"/>
      <c r="B61" s="4"/>
      <c r="C61" s="4"/>
      <c r="D61" s="5"/>
      <c r="E61" s="4"/>
      <c r="F61" s="5"/>
      <c r="G61" s="6"/>
      <c r="H61" s="5"/>
      <c r="I61" s="6"/>
      <c r="J61" s="5"/>
      <c r="K61" s="4"/>
      <c r="L61" s="6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/>
      <c r="Y61" s="8"/>
      <c r="Z61" s="4"/>
    </row>
    <row r="62" spans="1:26" ht="15" customHeight="1">
      <c r="A62" s="4"/>
      <c r="B62" s="4"/>
      <c r="C62" s="4"/>
      <c r="D62" s="5"/>
      <c r="E62" s="4"/>
      <c r="F62" s="5"/>
      <c r="G62" s="6"/>
      <c r="H62" s="5"/>
      <c r="I62" s="6"/>
      <c r="J62" s="5"/>
      <c r="K62" s="4"/>
      <c r="L62" s="6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/>
      <c r="Y62" s="8"/>
      <c r="Z62" s="4"/>
    </row>
    <row r="63" spans="1:26" ht="15" customHeight="1">
      <c r="A63" s="4"/>
      <c r="B63" s="4"/>
      <c r="C63" s="4"/>
      <c r="D63" s="5"/>
      <c r="E63" s="4"/>
      <c r="F63" s="5"/>
      <c r="G63" s="6"/>
      <c r="H63" s="5"/>
      <c r="I63" s="6"/>
      <c r="J63" s="5"/>
      <c r="K63" s="4"/>
      <c r="L63" s="6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/>
      <c r="Y63" s="8"/>
      <c r="Z63" s="4"/>
    </row>
    <row r="64" spans="1:26" ht="15" customHeight="1">
      <c r="A64" s="4"/>
      <c r="B64" s="4"/>
      <c r="C64" s="4"/>
      <c r="D64" s="5"/>
      <c r="E64" s="4"/>
      <c r="F64" s="5"/>
      <c r="G64" s="6"/>
      <c r="H64" s="5"/>
      <c r="I64" s="6"/>
      <c r="J64" s="5"/>
      <c r="K64" s="4"/>
      <c r="L64" s="6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/>
      <c r="Y64" s="8"/>
      <c r="Z64" s="4"/>
    </row>
    <row r="65" spans="1:26" ht="15" customHeight="1">
      <c r="A65" s="4"/>
      <c r="B65" s="4"/>
      <c r="C65" s="4"/>
      <c r="D65" s="5"/>
      <c r="E65" s="4"/>
      <c r="F65" s="5"/>
      <c r="G65" s="6"/>
      <c r="H65" s="5"/>
      <c r="I65" s="6"/>
      <c r="J65" s="5"/>
      <c r="K65" s="4"/>
      <c r="L65" s="6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/>
      <c r="Y65" s="8"/>
      <c r="Z65" s="4"/>
    </row>
    <row r="66" spans="1:26" ht="15" customHeight="1">
      <c r="A66" s="4"/>
      <c r="B66" s="4"/>
      <c r="C66" s="4"/>
      <c r="D66" s="5"/>
      <c r="E66" s="4"/>
      <c r="F66" s="5"/>
      <c r="G66" s="6"/>
      <c r="H66" s="5"/>
      <c r="I66" s="6"/>
      <c r="J66" s="5"/>
      <c r="K66" s="4"/>
      <c r="L66" s="6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/>
      <c r="Y66" s="8"/>
      <c r="Z66" s="4"/>
    </row>
    <row r="67" spans="1:26" ht="15" customHeight="1">
      <c r="A67" s="4"/>
      <c r="B67" s="4"/>
      <c r="C67" s="4"/>
      <c r="D67" s="5"/>
      <c r="E67" s="4"/>
      <c r="F67" s="5"/>
      <c r="G67" s="6"/>
      <c r="H67" s="5"/>
      <c r="I67" s="6"/>
      <c r="J67" s="5"/>
      <c r="K67" s="4"/>
      <c r="L67" s="6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/>
      <c r="Y67" s="8"/>
      <c r="Z67" s="4"/>
    </row>
    <row r="68" spans="1:26" ht="15" customHeight="1">
      <c r="A68" s="4"/>
      <c r="B68" s="4"/>
      <c r="C68" s="4"/>
      <c r="D68" s="5"/>
      <c r="E68" s="4"/>
      <c r="F68" s="5"/>
      <c r="G68" s="6"/>
      <c r="H68" s="5"/>
      <c r="I68" s="6"/>
      <c r="J68" s="5"/>
      <c r="K68" s="4"/>
      <c r="L68" s="6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/>
      <c r="Y68" s="8"/>
      <c r="Z68" s="4"/>
    </row>
    <row r="69" spans="1:26" ht="15" customHeight="1">
      <c r="A69" s="4"/>
      <c r="B69" s="4"/>
      <c r="C69" s="4"/>
      <c r="D69" s="5"/>
      <c r="E69" s="4"/>
      <c r="F69" s="5"/>
      <c r="G69" s="6"/>
      <c r="H69" s="5"/>
      <c r="I69" s="6"/>
      <c r="J69" s="5"/>
      <c r="K69" s="4"/>
      <c r="L69" s="6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/>
      <c r="Y69" s="8"/>
      <c r="Z69" s="4"/>
    </row>
    <row r="70" spans="1:26" ht="15" customHeight="1">
      <c r="A70" s="4"/>
      <c r="B70" s="4"/>
      <c r="C70" s="4"/>
      <c r="D70" s="5"/>
      <c r="E70" s="4"/>
      <c r="F70" s="5"/>
      <c r="G70" s="6"/>
      <c r="H70" s="5"/>
      <c r="I70" s="6"/>
      <c r="J70" s="5"/>
      <c r="K70" s="4"/>
      <c r="L70" s="6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/>
      <c r="Y70" s="8"/>
      <c r="Z70" s="4"/>
    </row>
    <row r="71" spans="1:26" ht="15" customHeight="1">
      <c r="A71" s="4"/>
      <c r="B71" s="4"/>
      <c r="C71" s="4"/>
      <c r="D71" s="5"/>
      <c r="E71" s="4"/>
      <c r="F71" s="5"/>
      <c r="G71" s="6"/>
      <c r="H71" s="5"/>
      <c r="I71" s="6"/>
      <c r="J71" s="5"/>
      <c r="K71" s="4"/>
      <c r="L71" s="6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/>
      <c r="Y71" s="8"/>
      <c r="Z71" s="4"/>
    </row>
    <row r="72" spans="1:26" ht="15" customHeight="1">
      <c r="A72" s="4"/>
      <c r="B72" s="4"/>
      <c r="C72" s="4"/>
      <c r="D72" s="5"/>
      <c r="E72" s="4"/>
      <c r="F72" s="5"/>
      <c r="G72" s="6"/>
      <c r="H72" s="5"/>
      <c r="I72" s="6"/>
      <c r="J72" s="5"/>
      <c r="K72" s="4"/>
      <c r="L72" s="6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/>
      <c r="Y72" s="8"/>
      <c r="Z72" s="4"/>
    </row>
    <row r="73" spans="1:26" ht="15" customHeight="1">
      <c r="A73" s="4"/>
      <c r="B73" s="4"/>
      <c r="C73" s="4"/>
      <c r="D73" s="5"/>
      <c r="E73" s="4"/>
      <c r="F73" s="5"/>
      <c r="G73" s="6"/>
      <c r="H73" s="5"/>
      <c r="I73" s="6"/>
      <c r="J73" s="5"/>
      <c r="K73" s="4"/>
      <c r="L73" s="6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/>
      <c r="Y73" s="8"/>
      <c r="Z73" s="4"/>
    </row>
    <row r="74" spans="1:26" ht="15" customHeight="1">
      <c r="A74" s="4"/>
      <c r="B74" s="4"/>
      <c r="C74" s="4"/>
      <c r="D74" s="5"/>
      <c r="E74" s="4"/>
      <c r="F74" s="5"/>
      <c r="G74" s="6"/>
      <c r="H74" s="5"/>
      <c r="I74" s="6"/>
      <c r="J74" s="5"/>
      <c r="K74" s="4"/>
      <c r="L74" s="6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/>
      <c r="Y74" s="8"/>
      <c r="Z74" s="4"/>
    </row>
    <row r="75" spans="1:26" ht="15" customHeight="1">
      <c r="A75" s="4"/>
      <c r="B75" s="4"/>
      <c r="C75" s="4"/>
      <c r="D75" s="5"/>
      <c r="E75" s="4"/>
      <c r="F75" s="5"/>
      <c r="G75" s="6"/>
      <c r="H75" s="5"/>
      <c r="I75" s="6"/>
      <c r="J75" s="5"/>
      <c r="K75" s="4"/>
      <c r="L75" s="6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/>
      <c r="Y75" s="8"/>
      <c r="Z75" s="4"/>
    </row>
    <row r="76" spans="1:26" ht="15" customHeight="1">
      <c r="A76" s="4"/>
      <c r="B76" s="4"/>
      <c r="C76" s="4"/>
      <c r="D76" s="5"/>
      <c r="E76" s="4"/>
      <c r="F76" s="5"/>
      <c r="G76" s="6"/>
      <c r="H76" s="5"/>
      <c r="I76" s="6"/>
      <c r="J76" s="5"/>
      <c r="K76" s="4"/>
      <c r="L76" s="6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/>
      <c r="Y76" s="8"/>
      <c r="Z76" s="4"/>
    </row>
    <row r="77" spans="1:26" ht="15" customHeight="1">
      <c r="A77" s="4"/>
      <c r="B77" s="4"/>
      <c r="C77" s="4"/>
      <c r="D77" s="5"/>
      <c r="E77" s="4"/>
      <c r="F77" s="5"/>
      <c r="G77" s="6"/>
      <c r="H77" s="5"/>
      <c r="I77" s="6"/>
      <c r="J77" s="5"/>
      <c r="K77" s="4"/>
      <c r="L77" s="6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/>
      <c r="Y77" s="8"/>
      <c r="Z77" s="4"/>
    </row>
    <row r="78" spans="1:26" ht="15" customHeight="1">
      <c r="A78" s="4"/>
      <c r="B78" s="4"/>
      <c r="C78" s="4"/>
      <c r="D78" s="5"/>
      <c r="E78" s="4"/>
      <c r="F78" s="5"/>
      <c r="G78" s="6"/>
      <c r="H78" s="5"/>
      <c r="I78" s="6"/>
      <c r="J78" s="5"/>
      <c r="K78" s="4"/>
      <c r="L78" s="6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/>
      <c r="Y78" s="8"/>
      <c r="Z78" s="4"/>
    </row>
    <row r="79" spans="1:26" ht="15" customHeight="1">
      <c r="A79" s="4"/>
      <c r="B79" s="4"/>
      <c r="C79" s="4"/>
      <c r="D79" s="5"/>
      <c r="E79" s="4"/>
      <c r="F79" s="5"/>
      <c r="G79" s="6"/>
      <c r="H79" s="5"/>
      <c r="I79" s="6"/>
      <c r="J79" s="5"/>
      <c r="K79" s="4"/>
      <c r="L79" s="6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/>
      <c r="Y79" s="8"/>
      <c r="Z79" s="4"/>
    </row>
    <row r="80" spans="1:26" ht="15" customHeight="1">
      <c r="A80" s="4"/>
      <c r="B80" s="4"/>
      <c r="C80" s="4"/>
      <c r="D80" s="5"/>
      <c r="E80" s="4"/>
      <c r="F80" s="5"/>
      <c r="G80" s="6"/>
      <c r="H80" s="5"/>
      <c r="I80" s="6"/>
      <c r="J80" s="5"/>
      <c r="K80" s="4"/>
      <c r="L80" s="6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/>
      <c r="Y80" s="8"/>
      <c r="Z80" s="4"/>
    </row>
    <row r="81" spans="1:26" ht="15" customHeight="1">
      <c r="A81" s="4"/>
      <c r="B81" s="4"/>
      <c r="C81" s="4"/>
      <c r="D81" s="5"/>
      <c r="E81" s="4"/>
      <c r="F81" s="5"/>
      <c r="G81" s="6"/>
      <c r="H81" s="5"/>
      <c r="I81" s="6"/>
      <c r="J81" s="5"/>
      <c r="K81" s="4"/>
      <c r="L81" s="6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/>
      <c r="Y81" s="8"/>
      <c r="Z81" s="4"/>
    </row>
    <row r="82" spans="1:26" ht="15" customHeight="1">
      <c r="A82" s="4"/>
      <c r="B82" s="4"/>
      <c r="C82" s="4"/>
      <c r="D82" s="5"/>
      <c r="E82" s="4"/>
      <c r="F82" s="5"/>
      <c r="G82" s="6"/>
      <c r="H82" s="5"/>
      <c r="I82" s="6"/>
      <c r="J82" s="5"/>
      <c r="K82" s="4"/>
      <c r="L82" s="6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/>
      <c r="Y82" s="8"/>
      <c r="Z82" s="4"/>
    </row>
    <row r="83" spans="1:26" ht="15" customHeight="1">
      <c r="A83" s="4"/>
      <c r="B83" s="4"/>
      <c r="C83" s="4"/>
      <c r="D83" s="5"/>
      <c r="E83" s="4"/>
      <c r="F83" s="5"/>
      <c r="G83" s="6"/>
      <c r="H83" s="5"/>
      <c r="I83" s="6"/>
      <c r="J83" s="5"/>
      <c r="K83" s="4"/>
      <c r="L83" s="6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/>
      <c r="Y83" s="8"/>
      <c r="Z83" s="4"/>
    </row>
    <row r="84" spans="1:26" ht="15" customHeight="1">
      <c r="A84" s="4"/>
      <c r="B84" s="4"/>
      <c r="C84" s="4"/>
      <c r="D84" s="5"/>
      <c r="E84" s="4"/>
      <c r="F84" s="5"/>
      <c r="G84" s="6"/>
      <c r="H84" s="5"/>
      <c r="I84" s="6"/>
      <c r="J84" s="5"/>
      <c r="K84" s="4"/>
      <c r="L84" s="6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/>
      <c r="Y84" s="8"/>
      <c r="Z84" s="4"/>
    </row>
    <row r="85" spans="1:26" ht="15" customHeight="1">
      <c r="A85" s="4"/>
      <c r="B85" s="4"/>
      <c r="C85" s="4"/>
      <c r="D85" s="5"/>
      <c r="E85" s="4"/>
      <c r="F85" s="5"/>
      <c r="G85" s="6"/>
      <c r="H85" s="5"/>
      <c r="I85" s="6"/>
      <c r="J85" s="5"/>
      <c r="K85" s="4"/>
      <c r="L85" s="6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/>
      <c r="Y85" s="8"/>
      <c r="Z85" s="4"/>
    </row>
    <row r="86" spans="1:26" ht="15" customHeight="1">
      <c r="A86" s="4"/>
      <c r="B86" s="4"/>
      <c r="C86" s="4"/>
      <c r="D86" s="5"/>
      <c r="E86" s="4"/>
      <c r="F86" s="5"/>
      <c r="G86" s="6"/>
      <c r="H86" s="5"/>
      <c r="I86" s="6"/>
      <c r="J86" s="5"/>
      <c r="K86" s="4"/>
      <c r="L86" s="6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/>
      <c r="Y86" s="8"/>
      <c r="Z86" s="4"/>
    </row>
    <row r="87" spans="1:26" ht="15" customHeight="1">
      <c r="A87" s="4"/>
      <c r="B87" s="4"/>
      <c r="C87" s="4"/>
      <c r="D87" s="5"/>
      <c r="E87" s="4"/>
      <c r="F87" s="5"/>
      <c r="G87" s="6"/>
      <c r="H87" s="5"/>
      <c r="I87" s="6"/>
      <c r="J87" s="5"/>
      <c r="K87" s="4"/>
      <c r="L87" s="6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/>
      <c r="Y87" s="8"/>
      <c r="Z87" s="4"/>
    </row>
    <row r="88" spans="1:26" ht="15" customHeight="1">
      <c r="A88" s="4"/>
      <c r="B88" s="4"/>
      <c r="C88" s="4"/>
      <c r="D88" s="5"/>
      <c r="E88" s="4"/>
      <c r="F88" s="5"/>
      <c r="G88" s="6"/>
      <c r="H88" s="5"/>
      <c r="I88" s="6"/>
      <c r="J88" s="5"/>
      <c r="K88" s="4"/>
      <c r="L88" s="6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/>
      <c r="Y88" s="8"/>
      <c r="Z88" s="4"/>
    </row>
    <row r="89" spans="1:26" ht="15" customHeight="1">
      <c r="A89" s="4"/>
      <c r="B89" s="4"/>
      <c r="C89" s="4"/>
      <c r="D89" s="5"/>
      <c r="E89" s="4"/>
      <c r="F89" s="5"/>
      <c r="G89" s="6"/>
      <c r="H89" s="5"/>
      <c r="I89" s="6"/>
      <c r="J89" s="5"/>
      <c r="K89" s="4"/>
      <c r="L89" s="6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/>
      <c r="Y89" s="8"/>
      <c r="Z89" s="4"/>
    </row>
    <row r="90" spans="1:26" ht="15" customHeight="1">
      <c r="A90" s="4"/>
      <c r="B90" s="4"/>
      <c r="C90" s="4"/>
      <c r="D90" s="5"/>
      <c r="E90" s="4"/>
      <c r="F90" s="5"/>
      <c r="G90" s="6"/>
      <c r="H90" s="5"/>
      <c r="I90" s="6"/>
      <c r="J90" s="5"/>
      <c r="K90" s="4"/>
      <c r="L90" s="6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/>
      <c r="Y90" s="8"/>
      <c r="Z90" s="4"/>
    </row>
    <row r="91" spans="1:26" ht="15" customHeight="1">
      <c r="A91" s="4"/>
      <c r="B91" s="4"/>
      <c r="C91" s="4"/>
      <c r="D91" s="5"/>
      <c r="E91" s="4"/>
      <c r="F91" s="5"/>
      <c r="G91" s="6"/>
      <c r="H91" s="5"/>
      <c r="I91" s="6"/>
      <c r="J91" s="5"/>
      <c r="K91" s="4"/>
      <c r="L91" s="6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/>
      <c r="Y91" s="8"/>
      <c r="Z91" s="4"/>
    </row>
    <row r="92" spans="1:26" ht="15" customHeight="1">
      <c r="A92" s="4"/>
      <c r="B92" s="4"/>
      <c r="C92" s="4"/>
      <c r="D92" s="5"/>
      <c r="E92" s="4"/>
      <c r="F92" s="5"/>
      <c r="G92" s="6"/>
      <c r="H92" s="5"/>
      <c r="I92" s="6"/>
      <c r="J92" s="5"/>
      <c r="K92" s="4"/>
      <c r="L92" s="6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/>
      <c r="Y92" s="8"/>
      <c r="Z92" s="4"/>
    </row>
    <row r="93" spans="1:26" ht="15" customHeight="1">
      <c r="A93" s="4"/>
      <c r="B93" s="4"/>
      <c r="C93" s="4"/>
      <c r="D93" s="5"/>
      <c r="E93" s="4"/>
      <c r="F93" s="5"/>
      <c r="G93" s="6"/>
      <c r="H93" s="5"/>
      <c r="I93" s="6"/>
      <c r="J93" s="5"/>
      <c r="K93" s="4"/>
      <c r="L93" s="6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/>
      <c r="Y93" s="8"/>
      <c r="Z93" s="4"/>
    </row>
    <row r="94" spans="1:26" ht="15" customHeight="1">
      <c r="A94" s="4"/>
      <c r="B94" s="4"/>
      <c r="C94" s="4"/>
      <c r="D94" s="5"/>
      <c r="E94" s="4"/>
      <c r="F94" s="5"/>
      <c r="G94" s="6"/>
      <c r="H94" s="5"/>
      <c r="I94" s="6"/>
      <c r="J94" s="5"/>
      <c r="K94" s="4"/>
      <c r="L94" s="6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/>
      <c r="Y94" s="8"/>
      <c r="Z94" s="4"/>
    </row>
    <row r="95" spans="1:26" ht="15" customHeight="1">
      <c r="A95" s="4"/>
      <c r="B95" s="4"/>
      <c r="C95" s="4"/>
      <c r="D95" s="5"/>
      <c r="E95" s="4"/>
      <c r="F95" s="5"/>
      <c r="G95" s="6"/>
      <c r="H95" s="5"/>
      <c r="I95" s="6"/>
      <c r="J95" s="5"/>
      <c r="K95" s="4"/>
      <c r="L95" s="6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/>
      <c r="Y95" s="8"/>
      <c r="Z95" s="4"/>
    </row>
    <row r="96" spans="1:26" ht="15" customHeight="1">
      <c r="A96" s="4"/>
      <c r="B96" s="4"/>
      <c r="C96" s="4"/>
      <c r="D96" s="5"/>
      <c r="E96" s="4"/>
      <c r="F96" s="5"/>
      <c r="G96" s="6"/>
      <c r="H96" s="5"/>
      <c r="I96" s="6"/>
      <c r="J96" s="5"/>
      <c r="K96" s="4"/>
      <c r="L96" s="6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/>
      <c r="Y96" s="8"/>
      <c r="Z96" s="4"/>
    </row>
    <row r="97" spans="1:26" ht="15" customHeight="1">
      <c r="A97" s="4"/>
      <c r="B97" s="4"/>
      <c r="C97" s="4"/>
      <c r="D97" s="5"/>
      <c r="E97" s="4"/>
      <c r="F97" s="5"/>
      <c r="G97" s="6"/>
      <c r="H97" s="5"/>
      <c r="I97" s="6"/>
      <c r="J97" s="5"/>
      <c r="K97" s="4"/>
      <c r="L97" s="6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7"/>
      <c r="Y97" s="8"/>
      <c r="Z97" s="4"/>
    </row>
    <row r="98" spans="1:26" ht="15" customHeight="1">
      <c r="A98" s="4"/>
      <c r="B98" s="4"/>
      <c r="C98" s="4"/>
      <c r="D98" s="5"/>
      <c r="E98" s="4"/>
      <c r="F98" s="5"/>
      <c r="G98" s="6"/>
      <c r="H98" s="5"/>
      <c r="I98" s="6"/>
      <c r="J98" s="5"/>
      <c r="K98" s="4"/>
      <c r="L98" s="6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7"/>
      <c r="Y98" s="8"/>
      <c r="Z98" s="4"/>
    </row>
    <row r="99" spans="1:26" ht="15" customHeight="1">
      <c r="A99" s="4"/>
      <c r="B99" s="4"/>
      <c r="C99" s="4"/>
      <c r="D99" s="5"/>
      <c r="E99" s="4"/>
      <c r="F99" s="5"/>
      <c r="G99" s="6"/>
      <c r="H99" s="5"/>
      <c r="I99" s="6"/>
      <c r="J99" s="5"/>
      <c r="K99" s="4"/>
      <c r="L99" s="6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7"/>
      <c r="Y99" s="8"/>
      <c r="Z99" s="4"/>
    </row>
    <row r="100" spans="1:26" ht="15" customHeight="1">
      <c r="A100" s="4"/>
      <c r="B100" s="4"/>
      <c r="C100" s="4"/>
      <c r="D100" s="5"/>
      <c r="E100" s="4"/>
      <c r="F100" s="5"/>
      <c r="G100" s="6"/>
      <c r="H100" s="5"/>
      <c r="I100" s="6"/>
      <c r="J100" s="5"/>
      <c r="K100" s="4"/>
      <c r="L100" s="6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7"/>
      <c r="Y100" s="8"/>
      <c r="Z100" s="4"/>
    </row>
    <row r="101" spans="1:26" ht="15" customHeight="1">
      <c r="A101" s="4"/>
      <c r="B101" s="4"/>
      <c r="C101" s="4"/>
      <c r="D101" s="5"/>
      <c r="E101" s="4"/>
      <c r="F101" s="5"/>
      <c r="G101" s="6"/>
      <c r="H101" s="5"/>
      <c r="I101" s="6"/>
      <c r="J101" s="5"/>
      <c r="K101" s="4"/>
      <c r="L101" s="6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7"/>
      <c r="Y101" s="8"/>
      <c r="Z101" s="4"/>
    </row>
    <row r="102" spans="1:26" ht="15" customHeight="1">
      <c r="A102" s="4"/>
      <c r="B102" s="4"/>
      <c r="C102" s="4"/>
      <c r="D102" s="5"/>
      <c r="E102" s="4"/>
      <c r="F102" s="5"/>
      <c r="G102" s="6"/>
      <c r="H102" s="5"/>
      <c r="I102" s="6"/>
      <c r="J102" s="5"/>
      <c r="K102" s="4"/>
      <c r="L102" s="6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7"/>
      <c r="Y102" s="8"/>
      <c r="Z102" s="4"/>
    </row>
    <row r="103" spans="1:26" ht="15" customHeight="1">
      <c r="A103" s="4"/>
      <c r="B103" s="4"/>
      <c r="C103" s="4"/>
      <c r="D103" s="5"/>
      <c r="E103" s="4"/>
      <c r="F103" s="5"/>
      <c r="G103" s="6"/>
      <c r="H103" s="5"/>
      <c r="I103" s="6"/>
      <c r="J103" s="5"/>
      <c r="K103" s="4"/>
      <c r="L103" s="6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7"/>
      <c r="Y103" s="8"/>
      <c r="Z103" s="4"/>
    </row>
    <row r="104" spans="1:26" ht="15" customHeight="1">
      <c r="A104" s="4"/>
      <c r="B104" s="4"/>
      <c r="C104" s="4"/>
      <c r="D104" s="5"/>
      <c r="E104" s="4"/>
      <c r="F104" s="5"/>
      <c r="G104" s="6"/>
      <c r="H104" s="5"/>
      <c r="I104" s="6"/>
      <c r="J104" s="5"/>
      <c r="K104" s="4"/>
      <c r="L104" s="6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7"/>
      <c r="Y104" s="8"/>
      <c r="Z104" s="4"/>
    </row>
    <row r="105" spans="1:26" ht="15" customHeight="1">
      <c r="A105" s="4"/>
      <c r="B105" s="4"/>
      <c r="C105" s="4"/>
      <c r="D105" s="5"/>
      <c r="E105" s="4"/>
      <c r="F105" s="5"/>
      <c r="G105" s="6"/>
      <c r="H105" s="5"/>
      <c r="I105" s="6"/>
      <c r="J105" s="5"/>
      <c r="K105" s="4"/>
      <c r="L105" s="6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7"/>
      <c r="Y105" s="8"/>
      <c r="Z105" s="4"/>
    </row>
    <row r="106" spans="1:26" ht="15" customHeight="1">
      <c r="A106" s="4"/>
      <c r="B106" s="4"/>
      <c r="C106" s="4"/>
      <c r="D106" s="5"/>
      <c r="E106" s="4"/>
      <c r="F106" s="5"/>
      <c r="G106" s="6"/>
      <c r="H106" s="5"/>
      <c r="I106" s="6"/>
      <c r="J106" s="5"/>
      <c r="K106" s="4"/>
      <c r="L106" s="6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7"/>
      <c r="Y106" s="8"/>
      <c r="Z106" s="4"/>
    </row>
    <row r="107" spans="1:26" ht="15" customHeight="1">
      <c r="A107" s="4"/>
      <c r="B107" s="4"/>
      <c r="C107" s="4"/>
      <c r="D107" s="5"/>
      <c r="E107" s="4"/>
      <c r="F107" s="5"/>
      <c r="G107" s="6"/>
      <c r="H107" s="5"/>
      <c r="I107" s="6"/>
      <c r="J107" s="5"/>
      <c r="K107" s="4"/>
      <c r="L107" s="6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7"/>
      <c r="Y107" s="8"/>
      <c r="Z107" s="4"/>
    </row>
    <row r="108" spans="1:26" ht="15" customHeight="1">
      <c r="A108" s="4"/>
      <c r="B108" s="4"/>
      <c r="C108" s="4"/>
      <c r="D108" s="5"/>
      <c r="E108" s="4"/>
      <c r="F108" s="5"/>
      <c r="G108" s="6"/>
      <c r="H108" s="5"/>
      <c r="I108" s="6"/>
      <c r="J108" s="5"/>
      <c r="K108" s="4"/>
      <c r="L108" s="6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7"/>
      <c r="Y108" s="8"/>
      <c r="Z108" s="4"/>
    </row>
    <row r="109" spans="1:26" ht="15" customHeight="1">
      <c r="A109" s="4"/>
      <c r="B109" s="4"/>
      <c r="C109" s="4"/>
      <c r="D109" s="5"/>
      <c r="E109" s="4"/>
      <c r="F109" s="5"/>
      <c r="G109" s="6"/>
      <c r="H109" s="5"/>
      <c r="I109" s="6"/>
      <c r="J109" s="5"/>
      <c r="K109" s="4"/>
      <c r="L109" s="6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7"/>
      <c r="Y109" s="8"/>
      <c r="Z109" s="4"/>
    </row>
    <row r="110" spans="1:26" ht="15" customHeight="1">
      <c r="A110" s="4"/>
      <c r="B110" s="4"/>
      <c r="C110" s="4"/>
      <c r="D110" s="5"/>
      <c r="E110" s="4"/>
      <c r="F110" s="5"/>
      <c r="G110" s="6"/>
      <c r="H110" s="5"/>
      <c r="I110" s="6"/>
      <c r="J110" s="5"/>
      <c r="K110" s="4"/>
      <c r="L110" s="6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7"/>
      <c r="Y110" s="8"/>
      <c r="Z110" s="4"/>
    </row>
    <row r="111" spans="1:26" ht="15" customHeight="1">
      <c r="A111" s="4"/>
      <c r="B111" s="4"/>
      <c r="C111" s="4"/>
      <c r="D111" s="5"/>
      <c r="E111" s="4"/>
      <c r="F111" s="5"/>
      <c r="G111" s="6"/>
      <c r="H111" s="5"/>
      <c r="I111" s="6"/>
      <c r="J111" s="5"/>
      <c r="K111" s="4"/>
      <c r="L111" s="6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7"/>
      <c r="Y111" s="8"/>
      <c r="Z111" s="4"/>
    </row>
    <row r="112" spans="1:26" ht="15" customHeight="1">
      <c r="A112" s="4"/>
      <c r="B112" s="4"/>
      <c r="C112" s="4"/>
      <c r="D112" s="5"/>
      <c r="E112" s="4"/>
      <c r="F112" s="5"/>
      <c r="G112" s="6"/>
      <c r="H112" s="5"/>
      <c r="I112" s="6"/>
      <c r="J112" s="5"/>
      <c r="K112" s="4"/>
      <c r="L112" s="6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7"/>
      <c r="Y112" s="8"/>
      <c r="Z112" s="4"/>
    </row>
    <row r="113" spans="1:26" ht="15" customHeight="1">
      <c r="A113" s="4"/>
      <c r="B113" s="4"/>
      <c r="C113" s="4"/>
      <c r="D113" s="5"/>
      <c r="E113" s="4"/>
      <c r="F113" s="5"/>
      <c r="G113" s="6"/>
      <c r="H113" s="5"/>
      <c r="I113" s="6"/>
      <c r="J113" s="5"/>
      <c r="K113" s="4"/>
      <c r="L113" s="6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7"/>
      <c r="Y113" s="8"/>
      <c r="Z113" s="4"/>
    </row>
    <row r="114" spans="1:26" ht="15" customHeight="1">
      <c r="A114" s="4"/>
      <c r="B114" s="4"/>
      <c r="C114" s="4"/>
      <c r="D114" s="5"/>
      <c r="E114" s="4"/>
      <c r="F114" s="5"/>
      <c r="G114" s="6"/>
      <c r="H114" s="5"/>
      <c r="I114" s="6"/>
      <c r="J114" s="5"/>
      <c r="K114" s="4"/>
      <c r="L114" s="6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7"/>
      <c r="Y114" s="8"/>
      <c r="Z114" s="4"/>
    </row>
    <row r="115" spans="1:26" ht="15" customHeight="1">
      <c r="A115" s="4"/>
      <c r="B115" s="4"/>
      <c r="C115" s="4"/>
      <c r="D115" s="5"/>
      <c r="E115" s="4"/>
      <c r="F115" s="5"/>
      <c r="G115" s="6"/>
      <c r="H115" s="5"/>
      <c r="I115" s="6"/>
      <c r="J115" s="5"/>
      <c r="K115" s="4"/>
      <c r="L115" s="6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7"/>
      <c r="Y115" s="8"/>
      <c r="Z115" s="4"/>
    </row>
    <row r="116" spans="1:26" ht="15" customHeight="1">
      <c r="A116" s="4"/>
      <c r="B116" s="4"/>
      <c r="C116" s="4"/>
      <c r="D116" s="5"/>
      <c r="E116" s="4"/>
      <c r="F116" s="5"/>
      <c r="G116" s="6"/>
      <c r="H116" s="5"/>
      <c r="I116" s="6"/>
      <c r="J116" s="5"/>
      <c r="K116" s="4"/>
      <c r="L116" s="6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7"/>
      <c r="Y116" s="8"/>
      <c r="Z116" s="4"/>
    </row>
    <row r="117" spans="1:26" ht="15" customHeight="1">
      <c r="A117" s="4"/>
      <c r="B117" s="4"/>
      <c r="C117" s="4"/>
      <c r="D117" s="5"/>
      <c r="E117" s="4"/>
      <c r="F117" s="5"/>
      <c r="G117" s="6"/>
      <c r="H117" s="5"/>
      <c r="I117" s="6"/>
      <c r="J117" s="5"/>
      <c r="K117" s="4"/>
      <c r="L117" s="6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7"/>
      <c r="Y117" s="8"/>
      <c r="Z117" s="4"/>
    </row>
    <row r="118" spans="1:26" ht="15" customHeight="1">
      <c r="A118" s="4"/>
      <c r="B118" s="4"/>
      <c r="C118" s="4"/>
      <c r="D118" s="5"/>
      <c r="E118" s="4"/>
      <c r="F118" s="5"/>
      <c r="G118" s="6"/>
      <c r="H118" s="5"/>
      <c r="I118" s="6"/>
      <c r="J118" s="5"/>
      <c r="K118" s="4"/>
      <c r="L118" s="6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7"/>
      <c r="Y118" s="8"/>
      <c r="Z118" s="4"/>
    </row>
    <row r="119" spans="1:26" ht="15" customHeight="1">
      <c r="A119" s="4"/>
      <c r="B119" s="4"/>
      <c r="C119" s="4"/>
      <c r="D119" s="5"/>
      <c r="E119" s="4"/>
      <c r="F119" s="5"/>
      <c r="G119" s="6"/>
      <c r="H119" s="5"/>
      <c r="I119" s="6"/>
      <c r="J119" s="5"/>
      <c r="K119" s="4"/>
      <c r="L119" s="6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7"/>
      <c r="Y119" s="8"/>
      <c r="Z119" s="4"/>
    </row>
    <row r="120" spans="1:26" ht="15" customHeight="1">
      <c r="A120" s="4"/>
      <c r="B120" s="4"/>
      <c r="C120" s="4"/>
      <c r="D120" s="5"/>
      <c r="E120" s="4"/>
      <c r="F120" s="5"/>
      <c r="G120" s="6"/>
      <c r="H120" s="5"/>
      <c r="I120" s="6"/>
      <c r="J120" s="5"/>
      <c r="K120" s="4"/>
      <c r="L120" s="6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7"/>
      <c r="Y120" s="8"/>
      <c r="Z120" s="4"/>
    </row>
    <row r="121" spans="1:26" ht="15" customHeight="1">
      <c r="A121" s="4"/>
      <c r="B121" s="4"/>
      <c r="C121" s="4"/>
      <c r="D121" s="5"/>
      <c r="E121" s="4"/>
      <c r="F121" s="5"/>
      <c r="G121" s="6"/>
      <c r="H121" s="5"/>
      <c r="I121" s="6"/>
      <c r="J121" s="5"/>
      <c r="K121" s="4"/>
      <c r="L121" s="6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7"/>
      <c r="Y121" s="8"/>
      <c r="Z121" s="4"/>
    </row>
    <row r="122" spans="1:26" ht="15" customHeight="1">
      <c r="A122" s="4"/>
      <c r="B122" s="4"/>
      <c r="C122" s="4"/>
      <c r="D122" s="5"/>
      <c r="E122" s="4"/>
      <c r="F122" s="5"/>
      <c r="G122" s="6"/>
      <c r="H122" s="5"/>
      <c r="I122" s="6"/>
      <c r="J122" s="5"/>
      <c r="K122" s="4"/>
      <c r="L122" s="6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7"/>
      <c r="Y122" s="8"/>
      <c r="Z122" s="4"/>
    </row>
    <row r="123" spans="1:26" ht="15" customHeight="1">
      <c r="A123" s="4"/>
      <c r="B123" s="4"/>
      <c r="C123" s="4"/>
      <c r="D123" s="5"/>
      <c r="E123" s="4"/>
      <c r="F123" s="5"/>
      <c r="G123" s="6"/>
      <c r="H123" s="5"/>
      <c r="I123" s="6"/>
      <c r="J123" s="5"/>
      <c r="K123" s="4"/>
      <c r="L123" s="6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7"/>
      <c r="Y123" s="8"/>
      <c r="Z123" s="4"/>
    </row>
    <row r="124" spans="1:26" ht="15" customHeight="1">
      <c r="A124" s="4"/>
      <c r="B124" s="4"/>
      <c r="C124" s="4"/>
      <c r="D124" s="5"/>
      <c r="E124" s="4"/>
      <c r="F124" s="5"/>
      <c r="G124" s="6"/>
      <c r="H124" s="5"/>
      <c r="I124" s="6"/>
      <c r="J124" s="5"/>
      <c r="K124" s="4"/>
      <c r="L124" s="6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7"/>
      <c r="Y124" s="8"/>
      <c r="Z124" s="4"/>
    </row>
    <row r="125" spans="1:26" ht="15" customHeight="1">
      <c r="A125" s="4"/>
      <c r="B125" s="4"/>
      <c r="C125" s="4"/>
      <c r="D125" s="5"/>
      <c r="E125" s="4"/>
      <c r="F125" s="5"/>
      <c r="G125" s="6"/>
      <c r="H125" s="5"/>
      <c r="I125" s="6"/>
      <c r="J125" s="5"/>
      <c r="K125" s="4"/>
      <c r="L125" s="6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7"/>
      <c r="Y125" s="8"/>
      <c r="Z125" s="4"/>
    </row>
    <row r="126" spans="1:26" ht="15" customHeight="1">
      <c r="A126" s="4"/>
      <c r="B126" s="4"/>
      <c r="C126" s="4"/>
      <c r="D126" s="5"/>
      <c r="E126" s="4"/>
      <c r="F126" s="5"/>
      <c r="G126" s="6"/>
      <c r="H126" s="5"/>
      <c r="I126" s="6"/>
      <c r="J126" s="5"/>
      <c r="K126" s="4"/>
      <c r="L126" s="6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7"/>
      <c r="Y126" s="8"/>
      <c r="Z126" s="4"/>
    </row>
    <row r="127" spans="1:26" ht="15" customHeight="1">
      <c r="A127" s="4"/>
      <c r="B127" s="4"/>
      <c r="C127" s="4"/>
      <c r="D127" s="5"/>
      <c r="E127" s="4"/>
      <c r="F127" s="5"/>
      <c r="G127" s="6"/>
      <c r="H127" s="5"/>
      <c r="I127" s="6"/>
      <c r="J127" s="5"/>
      <c r="K127" s="4"/>
      <c r="L127" s="6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7"/>
      <c r="Y127" s="8"/>
      <c r="Z127" s="4"/>
    </row>
    <row r="128" spans="1:26" ht="15" customHeight="1">
      <c r="A128" s="4"/>
      <c r="B128" s="4"/>
      <c r="C128" s="4"/>
      <c r="D128" s="5"/>
      <c r="E128" s="4"/>
      <c r="F128" s="5"/>
      <c r="G128" s="6"/>
      <c r="H128" s="5"/>
      <c r="I128" s="6"/>
      <c r="J128" s="5"/>
      <c r="K128" s="4"/>
      <c r="L128" s="6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7"/>
      <c r="Y128" s="8"/>
      <c r="Z128" s="4"/>
    </row>
    <row r="129" spans="1:26" ht="15" customHeight="1">
      <c r="A129" s="4"/>
      <c r="B129" s="4"/>
      <c r="C129" s="4"/>
      <c r="D129" s="5"/>
      <c r="E129" s="4"/>
      <c r="F129" s="5"/>
      <c r="G129" s="6"/>
      <c r="H129" s="5"/>
      <c r="I129" s="6"/>
      <c r="J129" s="5"/>
      <c r="K129" s="4"/>
      <c r="L129" s="6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7"/>
      <c r="Y129" s="8"/>
      <c r="Z129" s="4"/>
    </row>
    <row r="130" spans="1:26" ht="15" customHeight="1">
      <c r="A130" s="4"/>
      <c r="B130" s="4"/>
      <c r="C130" s="4"/>
      <c r="D130" s="5"/>
      <c r="E130" s="4"/>
      <c r="F130" s="5"/>
      <c r="G130" s="6"/>
      <c r="H130" s="5"/>
      <c r="I130" s="6"/>
      <c r="J130" s="5"/>
      <c r="K130" s="4"/>
      <c r="L130" s="6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7"/>
      <c r="Y130" s="8"/>
      <c r="Z130" s="4"/>
    </row>
    <row r="131" spans="1:26" ht="15" customHeight="1">
      <c r="A131" s="4"/>
      <c r="B131" s="4"/>
      <c r="C131" s="4"/>
      <c r="D131" s="5"/>
      <c r="E131" s="4"/>
      <c r="F131" s="5"/>
      <c r="G131" s="6"/>
      <c r="H131" s="5"/>
      <c r="I131" s="6"/>
      <c r="J131" s="5"/>
      <c r="K131" s="4"/>
      <c r="L131" s="6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7"/>
      <c r="Y131" s="8"/>
      <c r="Z131" s="4"/>
    </row>
    <row r="132" spans="1:26" ht="15" customHeight="1">
      <c r="A132" s="4"/>
      <c r="B132" s="4"/>
      <c r="C132" s="4"/>
      <c r="D132" s="5"/>
      <c r="E132" s="4"/>
      <c r="F132" s="5"/>
      <c r="G132" s="6"/>
      <c r="H132" s="5"/>
      <c r="I132" s="6"/>
      <c r="J132" s="5"/>
      <c r="K132" s="4"/>
      <c r="L132" s="6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7"/>
      <c r="Y132" s="8"/>
      <c r="Z132" s="4"/>
    </row>
    <row r="133" spans="1:26" ht="15" customHeight="1">
      <c r="A133" s="4"/>
      <c r="B133" s="4"/>
      <c r="C133" s="4"/>
      <c r="D133" s="5"/>
      <c r="E133" s="4"/>
      <c r="F133" s="5"/>
      <c r="G133" s="6"/>
      <c r="H133" s="5"/>
      <c r="I133" s="6"/>
      <c r="J133" s="5"/>
      <c r="K133" s="4"/>
      <c r="L133" s="6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7"/>
      <c r="Y133" s="8"/>
      <c r="Z133" s="4"/>
    </row>
    <row r="134" spans="1:26" ht="15" customHeight="1">
      <c r="A134" s="4"/>
      <c r="B134" s="4"/>
      <c r="C134" s="4"/>
      <c r="D134" s="5"/>
      <c r="E134" s="4"/>
      <c r="F134" s="5"/>
      <c r="G134" s="6"/>
      <c r="H134" s="5"/>
      <c r="I134" s="6"/>
      <c r="J134" s="5"/>
      <c r="K134" s="4"/>
      <c r="L134" s="6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7"/>
      <c r="Y134" s="8"/>
      <c r="Z134" s="4"/>
    </row>
    <row r="135" spans="1:26" ht="15" customHeight="1">
      <c r="A135" s="4"/>
      <c r="B135" s="4"/>
      <c r="C135" s="4"/>
      <c r="D135" s="5"/>
      <c r="E135" s="4"/>
      <c r="F135" s="5"/>
      <c r="G135" s="6"/>
      <c r="H135" s="5"/>
      <c r="I135" s="6"/>
      <c r="J135" s="5"/>
      <c r="K135" s="4"/>
      <c r="L135" s="6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7"/>
      <c r="Y135" s="8"/>
      <c r="Z135" s="4"/>
    </row>
    <row r="136" spans="1:26" ht="15" customHeight="1">
      <c r="A136" s="4"/>
      <c r="B136" s="4"/>
      <c r="C136" s="4"/>
      <c r="D136" s="5"/>
      <c r="E136" s="4"/>
      <c r="F136" s="5"/>
      <c r="G136" s="6"/>
      <c r="H136" s="5"/>
      <c r="I136" s="6"/>
      <c r="J136" s="5"/>
      <c r="K136" s="4"/>
      <c r="L136" s="6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7"/>
      <c r="Y136" s="8"/>
      <c r="Z136" s="4"/>
    </row>
    <row r="137" spans="1:26" ht="15" customHeight="1">
      <c r="A137" s="4"/>
      <c r="B137" s="4"/>
      <c r="C137" s="4"/>
      <c r="D137" s="5"/>
      <c r="E137" s="4"/>
      <c r="F137" s="5"/>
      <c r="G137" s="6"/>
      <c r="H137" s="5"/>
      <c r="I137" s="6"/>
      <c r="J137" s="5"/>
      <c r="K137" s="4"/>
      <c r="L137" s="6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7"/>
      <c r="Y137" s="8"/>
      <c r="Z137" s="4"/>
    </row>
    <row r="138" spans="1:26" ht="15" customHeight="1">
      <c r="A138" s="4"/>
      <c r="B138" s="4"/>
      <c r="C138" s="4"/>
      <c r="D138" s="5"/>
      <c r="E138" s="4"/>
      <c r="F138" s="5"/>
      <c r="G138" s="6"/>
      <c r="H138" s="5"/>
      <c r="I138" s="6"/>
      <c r="J138" s="5"/>
      <c r="K138" s="4"/>
      <c r="L138" s="6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7"/>
      <c r="Y138" s="8"/>
      <c r="Z138" s="4"/>
    </row>
    <row r="139" spans="1:26" ht="15" customHeight="1">
      <c r="A139" s="4"/>
      <c r="B139" s="4"/>
      <c r="C139" s="4"/>
      <c r="D139" s="5"/>
      <c r="E139" s="4"/>
      <c r="F139" s="5"/>
      <c r="G139" s="6"/>
      <c r="H139" s="5"/>
      <c r="I139" s="6"/>
      <c r="J139" s="5"/>
      <c r="K139" s="4"/>
      <c r="L139" s="6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7"/>
      <c r="Y139" s="8"/>
      <c r="Z139" s="4"/>
    </row>
    <row r="140" spans="1:26" ht="15" customHeight="1">
      <c r="A140" s="4"/>
      <c r="B140" s="4"/>
      <c r="C140" s="4"/>
      <c r="D140" s="5"/>
      <c r="E140" s="4"/>
      <c r="F140" s="5"/>
      <c r="G140" s="6"/>
      <c r="H140" s="5"/>
      <c r="I140" s="6"/>
      <c r="J140" s="5"/>
      <c r="K140" s="4"/>
      <c r="L140" s="6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7"/>
      <c r="Y140" s="8"/>
      <c r="Z140" s="4"/>
    </row>
    <row r="141" spans="1:26" ht="15" customHeight="1">
      <c r="A141" s="4"/>
      <c r="B141" s="4"/>
      <c r="C141" s="4"/>
      <c r="D141" s="5"/>
      <c r="E141" s="4"/>
      <c r="F141" s="5"/>
      <c r="G141" s="6"/>
      <c r="H141" s="5"/>
      <c r="I141" s="6"/>
      <c r="J141" s="5"/>
      <c r="K141" s="4"/>
      <c r="L141" s="6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7"/>
      <c r="Y141" s="8"/>
      <c r="Z141" s="4"/>
    </row>
    <row r="142" spans="1:26" ht="15" customHeight="1">
      <c r="A142" s="4"/>
      <c r="B142" s="4"/>
      <c r="C142" s="4"/>
      <c r="D142" s="5"/>
      <c r="E142" s="4"/>
      <c r="F142" s="5"/>
      <c r="G142" s="6"/>
      <c r="H142" s="5"/>
      <c r="I142" s="6"/>
      <c r="J142" s="5"/>
      <c r="K142" s="4"/>
      <c r="L142" s="6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7"/>
      <c r="Y142" s="8"/>
      <c r="Z142" s="4"/>
    </row>
    <row r="143" spans="1:26" ht="15" customHeight="1">
      <c r="A143" s="4"/>
      <c r="B143" s="4"/>
      <c r="C143" s="4"/>
      <c r="D143" s="5"/>
      <c r="E143" s="4"/>
      <c r="F143" s="5"/>
      <c r="G143" s="6"/>
      <c r="H143" s="5"/>
      <c r="I143" s="6"/>
      <c r="J143" s="5"/>
      <c r="K143" s="4"/>
      <c r="L143" s="6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7"/>
      <c r="Y143" s="8"/>
      <c r="Z143" s="4"/>
    </row>
    <row r="144" spans="1:26" ht="15" customHeight="1">
      <c r="A144" s="4"/>
      <c r="B144" s="4"/>
      <c r="C144" s="4"/>
      <c r="D144" s="5"/>
      <c r="E144" s="4"/>
      <c r="F144" s="5"/>
      <c r="G144" s="6"/>
      <c r="H144" s="5"/>
      <c r="I144" s="6"/>
      <c r="J144" s="5"/>
      <c r="K144" s="4"/>
      <c r="L144" s="6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7"/>
      <c r="Y144" s="8"/>
      <c r="Z144" s="4"/>
    </row>
    <row r="145" spans="1:26" ht="15" customHeight="1">
      <c r="A145" s="4"/>
      <c r="B145" s="4"/>
      <c r="C145" s="4"/>
      <c r="D145" s="5"/>
      <c r="E145" s="4"/>
      <c r="F145" s="5"/>
      <c r="G145" s="6"/>
      <c r="H145" s="5"/>
      <c r="I145" s="6"/>
      <c r="J145" s="5"/>
      <c r="K145" s="4"/>
      <c r="L145" s="6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7"/>
      <c r="Y145" s="8"/>
      <c r="Z145" s="4"/>
    </row>
    <row r="146" spans="1:26" ht="15" customHeight="1">
      <c r="A146" s="4"/>
      <c r="B146" s="4"/>
      <c r="C146" s="4"/>
      <c r="D146" s="5"/>
      <c r="E146" s="4"/>
      <c r="F146" s="5"/>
      <c r="G146" s="6"/>
      <c r="H146" s="5"/>
      <c r="I146" s="6"/>
      <c r="J146" s="5"/>
      <c r="K146" s="4"/>
      <c r="L146" s="6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7"/>
      <c r="Y146" s="8"/>
      <c r="Z146" s="4"/>
    </row>
    <row r="147" spans="1:26" ht="15" customHeight="1">
      <c r="A147" s="4"/>
      <c r="B147" s="4"/>
      <c r="C147" s="4"/>
      <c r="D147" s="5"/>
      <c r="E147" s="4"/>
      <c r="F147" s="5"/>
      <c r="G147" s="6"/>
      <c r="H147" s="5"/>
      <c r="I147" s="6"/>
      <c r="J147" s="5"/>
      <c r="K147" s="4"/>
      <c r="L147" s="6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7"/>
      <c r="Y147" s="8"/>
      <c r="Z147" s="4"/>
    </row>
    <row r="148" spans="1:26" ht="15" customHeight="1">
      <c r="A148" s="4"/>
      <c r="B148" s="4"/>
      <c r="C148" s="4"/>
      <c r="D148" s="5"/>
      <c r="E148" s="4"/>
      <c r="F148" s="5"/>
      <c r="G148" s="6"/>
      <c r="H148" s="5"/>
      <c r="I148" s="6"/>
      <c r="J148" s="5"/>
      <c r="K148" s="4"/>
      <c r="L148" s="6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7"/>
      <c r="Y148" s="8"/>
      <c r="Z148" s="4"/>
    </row>
    <row r="149" spans="1:26" ht="15" customHeight="1">
      <c r="A149" s="4"/>
      <c r="B149" s="4"/>
      <c r="C149" s="4"/>
      <c r="D149" s="5"/>
      <c r="E149" s="4"/>
      <c r="F149" s="5"/>
      <c r="G149" s="6"/>
      <c r="H149" s="5"/>
      <c r="I149" s="6"/>
      <c r="J149" s="5"/>
      <c r="K149" s="4"/>
      <c r="L149" s="6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7"/>
      <c r="Y149" s="8"/>
      <c r="Z149" s="4"/>
    </row>
    <row r="150" spans="1:26" ht="15" customHeight="1">
      <c r="A150" s="4"/>
      <c r="B150" s="4"/>
      <c r="C150" s="4"/>
      <c r="D150" s="5"/>
      <c r="E150" s="4"/>
      <c r="F150" s="5"/>
      <c r="G150" s="6"/>
      <c r="H150" s="5"/>
      <c r="I150" s="6"/>
      <c r="J150" s="5"/>
      <c r="K150" s="4"/>
      <c r="L150" s="6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7"/>
      <c r="Y150" s="8"/>
      <c r="Z150" s="4"/>
    </row>
    <row r="151" spans="1:26" ht="15" customHeight="1">
      <c r="A151" s="4"/>
      <c r="B151" s="4"/>
      <c r="C151" s="4"/>
      <c r="D151" s="5"/>
      <c r="E151" s="4"/>
      <c r="F151" s="5"/>
      <c r="G151" s="6"/>
      <c r="H151" s="5"/>
      <c r="I151" s="6"/>
      <c r="J151" s="5"/>
      <c r="K151" s="4"/>
      <c r="L151" s="6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7"/>
      <c r="Y151" s="8"/>
      <c r="Z151" s="4"/>
    </row>
    <row r="152" spans="1:26" ht="15" customHeight="1">
      <c r="A152" s="4"/>
      <c r="B152" s="4"/>
      <c r="C152" s="4"/>
      <c r="D152" s="5"/>
      <c r="E152" s="4"/>
      <c r="F152" s="5"/>
      <c r="G152" s="6"/>
      <c r="H152" s="5"/>
      <c r="I152" s="6"/>
      <c r="J152" s="5"/>
      <c r="K152" s="4"/>
      <c r="L152" s="6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7"/>
      <c r="Y152" s="8"/>
      <c r="Z152" s="4"/>
    </row>
    <row r="153" spans="1:26" ht="15" customHeight="1">
      <c r="A153" s="4"/>
      <c r="B153" s="4"/>
      <c r="C153" s="4"/>
      <c r="D153" s="5"/>
      <c r="E153" s="4"/>
      <c r="F153" s="5"/>
      <c r="G153" s="6"/>
      <c r="H153" s="5"/>
      <c r="I153" s="6"/>
      <c r="J153" s="5"/>
      <c r="K153" s="4"/>
      <c r="L153" s="6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7"/>
      <c r="Y153" s="8"/>
      <c r="Z153" s="4"/>
    </row>
    <row r="154" spans="1:26" ht="15" customHeight="1">
      <c r="A154" s="4"/>
      <c r="B154" s="4"/>
      <c r="C154" s="4"/>
      <c r="D154" s="5"/>
      <c r="E154" s="4"/>
      <c r="F154" s="5"/>
      <c r="G154" s="6"/>
      <c r="H154" s="5"/>
      <c r="I154" s="6"/>
      <c r="J154" s="5"/>
      <c r="K154" s="4"/>
      <c r="L154" s="6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7"/>
      <c r="Y154" s="8"/>
      <c r="Z154" s="4"/>
    </row>
    <row r="155" spans="1:26" ht="15" customHeight="1">
      <c r="A155" s="4"/>
      <c r="B155" s="4"/>
      <c r="C155" s="4"/>
      <c r="D155" s="5"/>
      <c r="E155" s="4"/>
      <c r="F155" s="5"/>
      <c r="G155" s="6"/>
      <c r="H155" s="5"/>
      <c r="I155" s="6"/>
      <c r="J155" s="5"/>
      <c r="K155" s="4"/>
      <c r="L155" s="6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7"/>
      <c r="Y155" s="8"/>
      <c r="Z155" s="4"/>
    </row>
    <row r="156" spans="1:26" ht="15" customHeight="1">
      <c r="A156" s="4"/>
      <c r="B156" s="4"/>
      <c r="C156" s="4"/>
      <c r="D156" s="5"/>
      <c r="E156" s="4"/>
      <c r="F156" s="5"/>
      <c r="G156" s="6"/>
      <c r="H156" s="5"/>
      <c r="I156" s="6"/>
      <c r="J156" s="5"/>
      <c r="K156" s="4"/>
      <c r="L156" s="6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7"/>
      <c r="Y156" s="8"/>
      <c r="Z156" s="4"/>
    </row>
    <row r="157" spans="1:26" ht="15" customHeight="1">
      <c r="A157" s="4"/>
      <c r="B157" s="4"/>
      <c r="C157" s="4"/>
      <c r="D157" s="5"/>
      <c r="E157" s="4"/>
      <c r="F157" s="5"/>
      <c r="G157" s="6"/>
      <c r="H157" s="5"/>
      <c r="I157" s="6"/>
      <c r="J157" s="5"/>
      <c r="K157" s="4"/>
      <c r="L157" s="6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7"/>
      <c r="Y157" s="8"/>
      <c r="Z157" s="4"/>
    </row>
    <row r="158" spans="1:26" ht="15" customHeight="1">
      <c r="A158" s="4"/>
      <c r="B158" s="4"/>
      <c r="C158" s="4"/>
      <c r="D158" s="5"/>
      <c r="E158" s="4"/>
      <c r="F158" s="5"/>
      <c r="G158" s="6"/>
      <c r="H158" s="5"/>
      <c r="I158" s="6"/>
      <c r="J158" s="5"/>
      <c r="K158" s="4"/>
      <c r="L158" s="6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7"/>
      <c r="Y158" s="8"/>
      <c r="Z158" s="4"/>
    </row>
    <row r="159" spans="1:26" ht="15" customHeight="1">
      <c r="A159" s="4"/>
      <c r="B159" s="4"/>
      <c r="C159" s="4"/>
      <c r="D159" s="5"/>
      <c r="E159" s="4"/>
      <c r="F159" s="5"/>
      <c r="G159" s="6"/>
      <c r="H159" s="5"/>
      <c r="I159" s="6"/>
      <c r="J159" s="5"/>
      <c r="K159" s="4"/>
      <c r="L159" s="6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7"/>
      <c r="Y159" s="8"/>
      <c r="Z159" s="4"/>
    </row>
    <row r="160" spans="1:26" ht="15" customHeight="1">
      <c r="A160" s="4"/>
      <c r="B160" s="4"/>
      <c r="C160" s="4"/>
      <c r="D160" s="5"/>
      <c r="E160" s="4"/>
      <c r="F160" s="5"/>
      <c r="G160" s="6"/>
      <c r="H160" s="5"/>
      <c r="I160" s="6"/>
      <c r="J160" s="5"/>
      <c r="K160" s="4"/>
      <c r="L160" s="6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7"/>
      <c r="Y160" s="8"/>
      <c r="Z160" s="4"/>
    </row>
    <row r="161" spans="1:26" ht="15" customHeight="1">
      <c r="A161" s="4"/>
      <c r="B161" s="4"/>
      <c r="C161" s="4"/>
      <c r="D161" s="5"/>
      <c r="E161" s="4"/>
      <c r="F161" s="5"/>
      <c r="G161" s="6"/>
      <c r="H161" s="5"/>
      <c r="I161" s="6"/>
      <c r="J161" s="5"/>
      <c r="K161" s="4"/>
      <c r="L161" s="6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7"/>
      <c r="Y161" s="8"/>
      <c r="Z161" s="4"/>
    </row>
    <row r="162" spans="1:26" ht="15" customHeight="1">
      <c r="A162" s="4"/>
      <c r="B162" s="4"/>
      <c r="C162" s="4"/>
      <c r="D162" s="5"/>
      <c r="E162" s="4"/>
      <c r="F162" s="5"/>
      <c r="G162" s="6"/>
      <c r="H162" s="5"/>
      <c r="I162" s="6"/>
      <c r="J162" s="5"/>
      <c r="K162" s="4"/>
      <c r="L162" s="6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7"/>
      <c r="Y162" s="8"/>
      <c r="Z162" s="4"/>
    </row>
    <row r="163" spans="1:26" ht="15" customHeight="1">
      <c r="A163" s="4"/>
      <c r="B163" s="4"/>
      <c r="C163" s="4"/>
      <c r="D163" s="5"/>
      <c r="E163" s="4"/>
      <c r="F163" s="5"/>
      <c r="G163" s="6"/>
      <c r="H163" s="5"/>
      <c r="I163" s="6"/>
      <c r="J163" s="5"/>
      <c r="K163" s="4"/>
      <c r="L163" s="6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7"/>
      <c r="Y163" s="8"/>
      <c r="Z163" s="4"/>
    </row>
    <row r="164" spans="1:26" ht="15" customHeight="1">
      <c r="A164" s="4"/>
      <c r="B164" s="4"/>
      <c r="C164" s="4"/>
      <c r="D164" s="5"/>
      <c r="E164" s="4"/>
      <c r="F164" s="5"/>
      <c r="G164" s="6"/>
      <c r="H164" s="5"/>
      <c r="I164" s="6"/>
      <c r="J164" s="5"/>
      <c r="K164" s="4"/>
      <c r="L164" s="6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7"/>
      <c r="Y164" s="8"/>
      <c r="Z164" s="4"/>
    </row>
    <row r="165" spans="1:26" ht="15" customHeight="1">
      <c r="A165" s="4"/>
      <c r="B165" s="4"/>
      <c r="C165" s="4"/>
      <c r="D165" s="5"/>
      <c r="E165" s="4"/>
      <c r="F165" s="5"/>
      <c r="G165" s="6"/>
      <c r="H165" s="5"/>
      <c r="I165" s="6"/>
      <c r="J165" s="5"/>
      <c r="K165" s="4"/>
      <c r="L165" s="6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7"/>
      <c r="Y165" s="8"/>
      <c r="Z165" s="4"/>
    </row>
    <row r="166" spans="1:26" ht="15" customHeight="1">
      <c r="A166" s="4"/>
      <c r="B166" s="4"/>
      <c r="C166" s="4"/>
      <c r="D166" s="5"/>
      <c r="E166" s="4"/>
      <c r="F166" s="5"/>
      <c r="G166" s="6"/>
      <c r="H166" s="5"/>
      <c r="I166" s="6"/>
      <c r="J166" s="5"/>
      <c r="K166" s="4"/>
      <c r="L166" s="6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7"/>
      <c r="Y166" s="8"/>
      <c r="Z166" s="4"/>
    </row>
    <row r="167" spans="1:26" ht="15" customHeight="1">
      <c r="A167" s="4"/>
      <c r="L167" s="6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7"/>
      <c r="Y167" s="8"/>
      <c r="Z167" s="4"/>
    </row>
    <row r="168" spans="1:26" ht="15" customHeight="1">
      <c r="A168" s="4"/>
      <c r="L168" s="6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7"/>
      <c r="Y168" s="8"/>
      <c r="Z168" s="4"/>
    </row>
    <row r="169" spans="1:26" ht="15" customHeight="1">
      <c r="A169" s="4"/>
      <c r="L169" s="6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7"/>
      <c r="Y169" s="8"/>
      <c r="Z169" s="4"/>
    </row>
    <row r="170" spans="1:26" ht="15" customHeight="1">
      <c r="A170" s="4"/>
      <c r="L170" s="6"/>
      <c r="M170" s="4"/>
    </row>
    <row r="171" spans="1:26" ht="15" customHeight="1">
      <c r="A171" s="4"/>
      <c r="L171" s="6"/>
      <c r="M171" s="4"/>
    </row>
    <row r="172" spans="1:26" ht="15" customHeight="1">
      <c r="A172" s="4"/>
      <c r="L172" s="6"/>
      <c r="M172" s="4"/>
    </row>
    <row r="173" spans="1:26" ht="15" customHeight="1">
      <c r="A173" s="4"/>
      <c r="L173" s="6"/>
      <c r="M173" s="4"/>
    </row>
    <row r="174" spans="1:26" ht="15" customHeight="1">
      <c r="A174" s="4"/>
      <c r="L174" s="6"/>
      <c r="M174" s="4"/>
    </row>
    <row r="175" spans="1:26" ht="15" customHeight="1">
      <c r="A175" s="4"/>
      <c r="L175" s="6"/>
      <c r="M175" s="4"/>
    </row>
    <row r="176" spans="1:26" ht="15" customHeight="1">
      <c r="A176" s="4"/>
      <c r="L176" s="6"/>
      <c r="M176" s="4"/>
    </row>
    <row r="177" spans="1:13" ht="15" customHeight="1">
      <c r="A177" s="4"/>
      <c r="L177" s="6"/>
      <c r="M177" s="4"/>
    </row>
    <row r="178" spans="1:13" ht="15" customHeight="1">
      <c r="A178" s="4"/>
      <c r="L178" s="6"/>
      <c r="M178" s="4"/>
    </row>
    <row r="179" spans="1:13" ht="15" customHeight="1">
      <c r="A179" s="4"/>
      <c r="L179" s="6"/>
      <c r="M179" s="4"/>
    </row>
    <row r="180" spans="1:13" ht="15" customHeight="1">
      <c r="A180" s="4"/>
      <c r="L180" s="6"/>
      <c r="M180" s="4"/>
    </row>
    <row r="181" spans="1:13" ht="15" customHeight="1">
      <c r="A181" s="4"/>
      <c r="L181" s="6"/>
      <c r="M181" s="4"/>
    </row>
    <row r="182" spans="1:13" ht="15" customHeight="1">
      <c r="A182" s="4"/>
      <c r="L182" s="6"/>
      <c r="M182" s="4"/>
    </row>
    <row r="183" spans="1:13" ht="15" customHeight="1">
      <c r="A183" s="4"/>
      <c r="L183" s="6"/>
      <c r="M183" s="4"/>
    </row>
    <row r="184" spans="1:13" ht="15" customHeight="1">
      <c r="A184" s="4"/>
      <c r="L184" s="6"/>
      <c r="M184" s="4"/>
    </row>
    <row r="185" spans="1:13" ht="15" customHeight="1">
      <c r="A185" s="4"/>
      <c r="L185" s="6"/>
      <c r="M185" s="4"/>
    </row>
    <row r="186" spans="1:13" ht="15" customHeight="1">
      <c r="A186" s="4"/>
      <c r="L186" s="6"/>
      <c r="M186" s="4"/>
    </row>
    <row r="187" spans="1:13" ht="15" customHeight="1">
      <c r="A187" s="4"/>
      <c r="L187" s="6"/>
      <c r="M187" s="4"/>
    </row>
    <row r="188" spans="1:13" ht="15" customHeight="1">
      <c r="A188" s="4"/>
      <c r="L188" s="6"/>
      <c r="M188" s="4"/>
    </row>
    <row r="189" spans="1:13" ht="15" customHeight="1">
      <c r="A189" s="4"/>
      <c r="L189" s="6"/>
      <c r="M189" s="4"/>
    </row>
    <row r="190" spans="1:13" ht="15" customHeight="1">
      <c r="A190" s="4"/>
      <c r="L190" s="6"/>
      <c r="M190" s="4"/>
    </row>
    <row r="191" spans="1:13" ht="15" customHeight="1">
      <c r="A191" s="4"/>
      <c r="L191" s="6"/>
      <c r="M191" s="4"/>
    </row>
    <row r="192" spans="1:13" ht="15" customHeight="1">
      <c r="A192" s="4"/>
      <c r="L192" s="6"/>
      <c r="M192" s="4"/>
    </row>
    <row r="193" spans="1:13" ht="15" customHeight="1">
      <c r="A193" s="4"/>
      <c r="L193" s="6"/>
      <c r="M193" s="4"/>
    </row>
    <row r="194" spans="1:13" ht="15" customHeight="1">
      <c r="A194" s="4"/>
      <c r="L194" s="6"/>
      <c r="M194" s="4"/>
    </row>
    <row r="195" spans="1:13" ht="15" customHeight="1">
      <c r="A195" s="4"/>
      <c r="L195" s="6"/>
      <c r="M195" s="4"/>
    </row>
    <row r="196" spans="1:13" ht="15" customHeight="1">
      <c r="A196" s="4"/>
      <c r="L196" s="6"/>
      <c r="M196" s="4"/>
    </row>
    <row r="197" spans="1:13" ht="15" customHeight="1">
      <c r="A197" s="4"/>
      <c r="L197" s="6"/>
      <c r="M197" s="4"/>
    </row>
    <row r="198" spans="1:13" ht="15" customHeight="1">
      <c r="A198" s="4"/>
      <c r="L198" s="6"/>
      <c r="M198" s="4"/>
    </row>
    <row r="199" spans="1:13" ht="15" customHeight="1">
      <c r="A199" s="4"/>
      <c r="L199" s="6"/>
      <c r="M199" s="4"/>
    </row>
    <row r="200" spans="1:13" ht="15" customHeight="1">
      <c r="A200" s="4"/>
      <c r="L200" s="6"/>
      <c r="M200" s="4"/>
    </row>
    <row r="201" spans="1:13" ht="15" customHeight="1">
      <c r="A201" s="4"/>
      <c r="L201" s="6"/>
      <c r="M201" s="4"/>
    </row>
    <row r="202" spans="1:13" ht="15" customHeight="1">
      <c r="A202" s="4"/>
      <c r="L202" s="6"/>
      <c r="M202" s="4"/>
    </row>
    <row r="203" spans="1:13" ht="15" customHeight="1">
      <c r="A203" s="4"/>
      <c r="L203" s="6"/>
      <c r="M203" s="4"/>
    </row>
    <row r="204" spans="1:13" ht="15" customHeight="1">
      <c r="A204" s="4"/>
      <c r="L204" s="6"/>
      <c r="M204" s="4"/>
    </row>
    <row r="205" spans="1:13" ht="15" customHeight="1">
      <c r="A205" s="4"/>
      <c r="L205" s="6"/>
      <c r="M205" s="4"/>
    </row>
    <row r="206" spans="1:13" ht="15" customHeight="1">
      <c r="A206" s="4"/>
      <c r="L206" s="6"/>
      <c r="M206" s="4"/>
    </row>
    <row r="207" spans="1:13" ht="15" customHeight="1">
      <c r="A207" s="4"/>
      <c r="L207" s="6"/>
      <c r="M207" s="4"/>
    </row>
    <row r="208" spans="1:13" ht="15" customHeight="1">
      <c r="A208" s="4"/>
      <c r="L208" s="6"/>
      <c r="M208" s="4"/>
    </row>
    <row r="209" spans="1:13" ht="15" customHeight="1">
      <c r="A209" s="4"/>
      <c r="L209" s="6"/>
      <c r="M209" s="4"/>
    </row>
    <row r="210" spans="1:13" ht="15" customHeight="1">
      <c r="A210" s="4"/>
      <c r="L210" s="6"/>
      <c r="M210" s="4"/>
    </row>
    <row r="211" spans="1:13" ht="15" customHeight="1">
      <c r="A211" s="4"/>
      <c r="L211" s="6"/>
      <c r="M211" s="4"/>
    </row>
    <row r="212" spans="1:13" ht="15" customHeight="1">
      <c r="A212" s="4"/>
      <c r="L212" s="6"/>
      <c r="M212" s="4"/>
    </row>
    <row r="213" spans="1:13" ht="15" customHeight="1">
      <c r="A213" s="4"/>
      <c r="L213" s="6"/>
      <c r="M213" s="4"/>
    </row>
    <row r="214" spans="1:13" ht="15" customHeight="1">
      <c r="A214" s="4"/>
      <c r="L214" s="6"/>
      <c r="M214" s="4"/>
    </row>
    <row r="215" spans="1:13" ht="15" customHeight="1">
      <c r="A215" s="4"/>
      <c r="L215" s="6"/>
      <c r="M215" s="4"/>
    </row>
    <row r="216" spans="1:13" ht="15" customHeight="1">
      <c r="A216" s="4"/>
      <c r="L216" s="6"/>
      <c r="M216" s="4"/>
    </row>
    <row r="217" spans="1:13" ht="15" customHeight="1">
      <c r="A217" s="4"/>
      <c r="L217" s="6"/>
      <c r="M217" s="4"/>
    </row>
    <row r="218" spans="1:13" ht="15" customHeight="1">
      <c r="A218" s="4"/>
      <c r="L218" s="6"/>
      <c r="M218" s="4"/>
    </row>
    <row r="219" spans="1:13" ht="15" customHeight="1">
      <c r="A219" s="4"/>
      <c r="L219" s="6"/>
      <c r="M219" s="4"/>
    </row>
    <row r="220" spans="1:13" ht="15" customHeight="1">
      <c r="A220" s="4"/>
      <c r="L220" s="6"/>
      <c r="M220" s="4"/>
    </row>
    <row r="221" spans="1:13" ht="15" customHeight="1">
      <c r="A221" s="4"/>
      <c r="L221" s="6"/>
      <c r="M221" s="4"/>
    </row>
    <row r="222" spans="1:13" ht="15" customHeight="1">
      <c r="A222" s="4"/>
      <c r="L222" s="6"/>
      <c r="M222" s="4"/>
    </row>
    <row r="223" spans="1:13" ht="15" customHeight="1">
      <c r="A223" s="4"/>
      <c r="L223" s="6"/>
      <c r="M223" s="4"/>
    </row>
    <row r="224" spans="1:13" ht="15" customHeight="1">
      <c r="A224" s="4"/>
      <c r="L224" s="6"/>
      <c r="M224" s="4"/>
    </row>
    <row r="225" spans="1:13" ht="15" customHeight="1">
      <c r="A225" s="4"/>
      <c r="L225" s="6"/>
      <c r="M225" s="4"/>
    </row>
    <row r="226" spans="1:13" ht="15" customHeight="1">
      <c r="A226" s="4"/>
      <c r="L226" s="6"/>
      <c r="M226" s="4"/>
    </row>
    <row r="227" spans="1:13" ht="15" customHeight="1">
      <c r="A227" s="4"/>
      <c r="L227" s="6"/>
      <c r="M227" s="4"/>
    </row>
    <row r="228" spans="1:13" ht="15" customHeight="1">
      <c r="A228" s="4"/>
      <c r="L228" s="6"/>
      <c r="M228" s="4"/>
    </row>
    <row r="229" spans="1:13" ht="15" customHeight="1">
      <c r="A229" s="4"/>
      <c r="L229" s="6"/>
      <c r="M229" s="4"/>
    </row>
    <row r="230" spans="1:13" ht="15" customHeight="1">
      <c r="A230" s="4"/>
      <c r="L230" s="6"/>
      <c r="M230" s="4"/>
    </row>
    <row r="231" spans="1:13" ht="15" customHeight="1">
      <c r="A231" s="4"/>
      <c r="L231" s="6"/>
      <c r="M231" s="4"/>
    </row>
    <row r="232" spans="1:13" ht="15" customHeight="1">
      <c r="A232" s="4"/>
      <c r="L232" s="6"/>
      <c r="M232" s="4"/>
    </row>
    <row r="233" spans="1:13" ht="15" customHeight="1">
      <c r="A233" s="4"/>
      <c r="L233" s="6"/>
      <c r="M233" s="4"/>
    </row>
    <row r="234" spans="1:13" ht="15" customHeight="1">
      <c r="A234" s="4"/>
      <c r="L234" s="6"/>
      <c r="M234" s="4"/>
    </row>
    <row r="235" spans="1:13" ht="15" customHeight="1">
      <c r="A235" s="4"/>
      <c r="L235" s="6"/>
      <c r="M235" s="4"/>
    </row>
    <row r="236" spans="1:13" ht="15" customHeight="1">
      <c r="A236" s="4"/>
      <c r="L236" s="6"/>
      <c r="M236" s="4"/>
    </row>
    <row r="237" spans="1:13" ht="15" customHeight="1">
      <c r="A237" s="4"/>
      <c r="L237" s="6"/>
      <c r="M237" s="4"/>
    </row>
    <row r="238" spans="1:13" ht="15" customHeight="1">
      <c r="A238" s="4"/>
      <c r="L238" s="6"/>
      <c r="M238" s="4"/>
    </row>
    <row r="239" spans="1:13" ht="15" customHeight="1">
      <c r="A239" s="4"/>
      <c r="L239" s="6"/>
      <c r="M239" s="4"/>
    </row>
    <row r="240" spans="1:13" ht="15" customHeight="1">
      <c r="A240" s="4"/>
      <c r="L240" s="6"/>
      <c r="M240" s="4"/>
    </row>
    <row r="241" spans="1:13" ht="15" customHeight="1">
      <c r="A241" s="4"/>
      <c r="L241" s="6"/>
      <c r="M241" s="4"/>
    </row>
    <row r="242" spans="1:13" ht="15" customHeight="1">
      <c r="A242" s="4"/>
      <c r="L242" s="6"/>
      <c r="M242" s="4"/>
    </row>
    <row r="243" spans="1:13" ht="15" customHeight="1">
      <c r="A243" s="4"/>
      <c r="L243" s="6"/>
      <c r="M243" s="4"/>
    </row>
    <row r="244" spans="1:13" ht="15" customHeight="1">
      <c r="A244" s="4"/>
      <c r="L244" s="6"/>
      <c r="M244" s="4"/>
    </row>
    <row r="245" spans="1:13" ht="15" customHeight="1">
      <c r="A245" s="4"/>
      <c r="L245" s="6"/>
      <c r="M245" s="4"/>
    </row>
    <row r="246" spans="1:13" ht="15" customHeight="1">
      <c r="A246" s="4"/>
      <c r="L246" s="6"/>
      <c r="M246" s="4"/>
    </row>
    <row r="247" spans="1:13" ht="15" customHeight="1">
      <c r="A247" s="4"/>
      <c r="L247" s="6"/>
      <c r="M247" s="4"/>
    </row>
    <row r="248" spans="1:13" ht="15" customHeight="1">
      <c r="A248" s="4"/>
      <c r="L248" s="6"/>
      <c r="M248" s="4"/>
    </row>
    <row r="249" spans="1:13" ht="15" customHeight="1">
      <c r="A249" s="4"/>
      <c r="L249" s="6"/>
      <c r="M249" s="4"/>
    </row>
    <row r="250" spans="1:13" ht="15" customHeight="1">
      <c r="A250" s="4"/>
      <c r="L250" s="6"/>
      <c r="M250" s="4"/>
    </row>
    <row r="251" spans="1:13" ht="15" customHeight="1">
      <c r="A251" s="4"/>
      <c r="L251" s="6"/>
      <c r="M251" s="4"/>
    </row>
    <row r="252" spans="1:13" ht="15" customHeight="1">
      <c r="A252" s="4"/>
      <c r="L252" s="6"/>
      <c r="M252" s="4"/>
    </row>
    <row r="253" spans="1:13" ht="15" customHeight="1">
      <c r="L253" s="6"/>
      <c r="M253" s="4"/>
    </row>
    <row r="254" spans="1:13" ht="15" customHeight="1">
      <c r="L254" s="6"/>
      <c r="M254" s="4"/>
    </row>
    <row r="255" spans="1:13" ht="15" customHeight="1">
      <c r="L255" s="6"/>
      <c r="M255" s="4"/>
    </row>
    <row r="256" spans="1:13" ht="15" customHeight="1">
      <c r="L256" s="6"/>
      <c r="M256" s="4"/>
    </row>
    <row r="257" spans="12:13" ht="15" customHeight="1">
      <c r="L257" s="6"/>
      <c r="M257" s="4"/>
    </row>
    <row r="258" spans="12:13" ht="15" customHeight="1">
      <c r="L258" s="6"/>
      <c r="M258" s="4"/>
    </row>
    <row r="259" spans="12:13" ht="15" customHeight="1">
      <c r="L259" s="6"/>
      <c r="M259" s="4"/>
    </row>
    <row r="260" spans="12:13" ht="15" customHeight="1">
      <c r="L260" s="6"/>
      <c r="M260" s="4"/>
    </row>
    <row r="261" spans="12:13" ht="15" customHeight="1">
      <c r="L261" s="6"/>
      <c r="M261" s="4"/>
    </row>
    <row r="262" spans="12:13" ht="15" customHeight="1">
      <c r="L262" s="6"/>
      <c r="M262" s="4"/>
    </row>
    <row r="263" spans="12:13" ht="15" customHeight="1">
      <c r="L263" s="6"/>
      <c r="M263" s="4"/>
    </row>
    <row r="264" spans="12:13" ht="15" customHeight="1">
      <c r="L264" s="6"/>
      <c r="M264" s="4"/>
    </row>
    <row r="265" spans="12:13" ht="15" customHeight="1">
      <c r="L265" s="6"/>
      <c r="M265" s="4"/>
    </row>
    <row r="266" spans="12:13" ht="15" customHeight="1">
      <c r="L266" s="6"/>
      <c r="M266" s="4"/>
    </row>
    <row r="267" spans="12:13" ht="15" customHeight="1">
      <c r="L267" s="6"/>
      <c r="M267" s="4"/>
    </row>
    <row r="268" spans="12:13" ht="15" customHeight="1">
      <c r="L268" s="6"/>
      <c r="M268" s="4"/>
    </row>
    <row r="269" spans="12:13" ht="15" customHeight="1">
      <c r="L269" s="6"/>
      <c r="M269" s="4"/>
    </row>
    <row r="270" spans="12:13" ht="15" customHeight="1">
      <c r="L270" s="6"/>
      <c r="M270" s="4"/>
    </row>
    <row r="271" spans="12:13" ht="15" customHeight="1">
      <c r="L271" s="6"/>
      <c r="M271" s="4"/>
    </row>
    <row r="272" spans="12:13" ht="15" customHeight="1">
      <c r="L272" s="6"/>
      <c r="M272" s="4"/>
    </row>
    <row r="273" spans="12:13" ht="15" customHeight="1">
      <c r="L273" s="6"/>
      <c r="M273" s="4"/>
    </row>
    <row r="274" spans="12:13" ht="15" customHeight="1">
      <c r="L274" s="6"/>
      <c r="M274" s="4"/>
    </row>
    <row r="275" spans="12:13" ht="15" customHeight="1">
      <c r="L275" s="6"/>
      <c r="M275" s="4"/>
    </row>
    <row r="276" spans="12:13" ht="15" customHeight="1">
      <c r="L276" s="6"/>
      <c r="M276" s="4"/>
    </row>
    <row r="277" spans="12:13" ht="15" customHeight="1">
      <c r="L277" s="6"/>
      <c r="M277" s="4"/>
    </row>
    <row r="278" spans="12:13" ht="15" customHeight="1">
      <c r="L278" s="6"/>
      <c r="M278" s="4"/>
    </row>
    <row r="279" spans="12:13" ht="15" customHeight="1">
      <c r="L279" s="6"/>
      <c r="M279" s="4"/>
    </row>
    <row r="280" spans="12:13" ht="15" customHeight="1">
      <c r="L280" s="6"/>
      <c r="M280" s="4"/>
    </row>
    <row r="281" spans="12:13" ht="15" customHeight="1">
      <c r="L281" s="6"/>
      <c r="M281" s="4"/>
    </row>
    <row r="282" spans="12:13" ht="15" customHeight="1">
      <c r="L282" s="6"/>
      <c r="M282" s="4"/>
    </row>
    <row r="283" spans="12:13" ht="15" customHeight="1">
      <c r="L283" s="6"/>
      <c r="M283" s="4"/>
    </row>
    <row r="284" spans="12:13" ht="15" customHeight="1">
      <c r="L284" s="6"/>
      <c r="M284" s="4"/>
    </row>
    <row r="285" spans="12:13" ht="15" customHeight="1">
      <c r="L285" s="6"/>
      <c r="M285" s="4"/>
    </row>
    <row r="286" spans="12:13" ht="15" customHeight="1">
      <c r="L286" s="6"/>
      <c r="M286" s="4"/>
    </row>
    <row r="287" spans="12:13" ht="15" customHeight="1">
      <c r="L287" s="6"/>
      <c r="M287" s="4"/>
    </row>
    <row r="288" spans="12:13" ht="15" customHeight="1">
      <c r="L288" s="6"/>
      <c r="M288" s="4"/>
    </row>
    <row r="289" spans="12:13" ht="15" customHeight="1">
      <c r="L289" s="6"/>
      <c r="M289" s="4"/>
    </row>
    <row r="290" spans="12:13" ht="15" customHeight="1">
      <c r="L290" s="6"/>
      <c r="M290" s="4"/>
    </row>
    <row r="291" spans="12:13" ht="15" customHeight="1">
      <c r="L291" s="6"/>
      <c r="M291" s="4"/>
    </row>
    <row r="292" spans="12:13" ht="15" customHeight="1">
      <c r="L292" s="6"/>
      <c r="M292" s="4"/>
    </row>
    <row r="293" spans="12:13" ht="15" customHeight="1">
      <c r="L293" s="6"/>
      <c r="M293" s="4"/>
    </row>
    <row r="294" spans="12:13" ht="15" customHeight="1">
      <c r="L294" s="6"/>
      <c r="M294" s="4"/>
    </row>
    <row r="295" spans="12:13" ht="15" customHeight="1">
      <c r="L295" s="6"/>
      <c r="M295" s="4"/>
    </row>
    <row r="296" spans="12:13" ht="15" customHeight="1">
      <c r="L296" s="6"/>
      <c r="M296" s="4"/>
    </row>
    <row r="297" spans="12:13" ht="15" customHeight="1">
      <c r="L297" s="6"/>
      <c r="M297" s="4"/>
    </row>
    <row r="298" spans="12:13" ht="15" customHeight="1">
      <c r="L298" s="6"/>
      <c r="M298" s="4"/>
    </row>
    <row r="299" spans="12:13" ht="15" customHeight="1">
      <c r="L299" s="6"/>
      <c r="M299" s="4"/>
    </row>
    <row r="300" spans="12:13" ht="15" customHeight="1">
      <c r="L300" s="6"/>
      <c r="M300" s="4"/>
    </row>
    <row r="301" spans="12:13" ht="15" customHeight="1">
      <c r="L301" s="6"/>
      <c r="M301" s="4"/>
    </row>
    <row r="302" spans="12:13" ht="15" customHeight="1">
      <c r="L302" s="6"/>
      <c r="M302" s="4"/>
    </row>
    <row r="303" spans="12:13" ht="15" customHeight="1">
      <c r="L303" s="6"/>
      <c r="M303" s="4"/>
    </row>
    <row r="304" spans="12:13" ht="15" customHeight="1">
      <c r="L304" s="6"/>
      <c r="M304" s="4"/>
    </row>
    <row r="305" spans="12:13" ht="15" customHeight="1">
      <c r="L305" s="6"/>
      <c r="M305" s="4"/>
    </row>
    <row r="306" spans="12:13" ht="15" customHeight="1">
      <c r="L306" s="6"/>
      <c r="M306" s="4"/>
    </row>
    <row r="307" spans="12:13" ht="15" customHeight="1">
      <c r="L307" s="6"/>
      <c r="M307" s="4"/>
    </row>
    <row r="308" spans="12:13" ht="15" customHeight="1">
      <c r="L308" s="6"/>
      <c r="M308" s="4"/>
    </row>
    <row r="309" spans="12:13" ht="15" customHeight="1">
      <c r="L309" s="6"/>
      <c r="M309" s="4"/>
    </row>
    <row r="310" spans="12:13" ht="15" customHeight="1">
      <c r="L310" s="6"/>
      <c r="M310" s="4"/>
    </row>
    <row r="311" spans="12:13" ht="15" customHeight="1">
      <c r="L311" s="6"/>
      <c r="M311" s="4"/>
    </row>
    <row r="312" spans="12:13" ht="15" customHeight="1">
      <c r="L312" s="6"/>
      <c r="M312" s="4"/>
    </row>
    <row r="313" spans="12:13" ht="15" customHeight="1">
      <c r="L313" s="6"/>
      <c r="M313" s="4"/>
    </row>
    <row r="314" spans="12:13" ht="15" customHeight="1">
      <c r="L314" s="6"/>
      <c r="M314" s="4"/>
    </row>
    <row r="315" spans="12:13" ht="15" customHeight="1">
      <c r="L315" s="6"/>
      <c r="M315" s="4"/>
    </row>
    <row r="316" spans="12:13" ht="15" customHeight="1">
      <c r="L316" s="6"/>
      <c r="M316" s="4"/>
    </row>
    <row r="317" spans="12:13" ht="15" customHeight="1">
      <c r="L317" s="6"/>
      <c r="M317" s="4"/>
    </row>
    <row r="318" spans="12:13" ht="15" customHeight="1">
      <c r="L318" s="6"/>
      <c r="M318" s="4"/>
    </row>
    <row r="319" spans="12:13" ht="15" customHeight="1">
      <c r="L319" s="6"/>
      <c r="M319" s="4"/>
    </row>
    <row r="320" spans="12:13" ht="15" customHeight="1">
      <c r="L320" s="6"/>
      <c r="M320" s="4"/>
    </row>
    <row r="321" spans="12:13" ht="15" customHeight="1">
      <c r="L321" s="6"/>
      <c r="M321" s="4"/>
    </row>
    <row r="322" spans="12:13" ht="15" customHeight="1">
      <c r="L322" s="6"/>
      <c r="M322" s="4"/>
    </row>
    <row r="323" spans="12:13" ht="15" customHeight="1">
      <c r="L323" s="6"/>
      <c r="M323" s="4"/>
    </row>
    <row r="324" spans="12:13" ht="15" customHeight="1">
      <c r="L324" s="6"/>
      <c r="M324" s="4"/>
    </row>
    <row r="325" spans="12:13" ht="15" customHeight="1">
      <c r="L325" s="6"/>
      <c r="M325" s="4"/>
    </row>
    <row r="326" spans="12:13" ht="15" customHeight="1">
      <c r="L326" s="6"/>
      <c r="M326" s="4"/>
    </row>
    <row r="327" spans="12:13" ht="15" customHeight="1">
      <c r="L327" s="6"/>
      <c r="M327" s="4"/>
    </row>
    <row r="328" spans="12:13" ht="15" customHeight="1">
      <c r="L328" s="6"/>
      <c r="M328" s="4"/>
    </row>
    <row r="329" spans="12:13" ht="15" customHeight="1">
      <c r="L329" s="6"/>
      <c r="M329" s="4"/>
    </row>
    <row r="330" spans="12:13" ht="15" customHeight="1">
      <c r="L330" s="6"/>
      <c r="M330" s="4"/>
    </row>
    <row r="331" spans="12:13" ht="15" customHeight="1">
      <c r="L331" s="6"/>
      <c r="M331" s="4"/>
    </row>
    <row r="332" spans="12:13" ht="15" customHeight="1">
      <c r="L332" s="6"/>
      <c r="M332" s="4"/>
    </row>
    <row r="333" spans="12:13" ht="15" customHeight="1">
      <c r="L333" s="6"/>
      <c r="M333" s="4"/>
    </row>
    <row r="334" spans="12:13" ht="15" customHeight="1">
      <c r="L334" s="6"/>
      <c r="M334" s="4"/>
    </row>
    <row r="335" spans="12:13" ht="15" customHeight="1">
      <c r="L335" s="6"/>
      <c r="M335" s="4"/>
    </row>
    <row r="336" spans="12:13" ht="15" customHeight="1">
      <c r="L336" s="6"/>
      <c r="M336" s="4"/>
    </row>
    <row r="337" spans="12:13" ht="15" customHeight="1">
      <c r="L337" s="6"/>
      <c r="M337" s="4"/>
    </row>
    <row r="338" spans="12:13" ht="15" customHeight="1">
      <c r="L338" s="6"/>
      <c r="M338" s="4"/>
    </row>
    <row r="339" spans="12:13" ht="15" customHeight="1">
      <c r="L339" s="6"/>
      <c r="M339" s="4"/>
    </row>
    <row r="340" spans="12:13" ht="15" customHeight="1">
      <c r="L340" s="6"/>
      <c r="M340" s="4"/>
    </row>
    <row r="341" spans="12:13" ht="15" customHeight="1">
      <c r="L341" s="6"/>
      <c r="M341" s="4"/>
    </row>
    <row r="342" spans="12:13" ht="15" customHeight="1">
      <c r="L342" s="6"/>
      <c r="M342" s="4"/>
    </row>
    <row r="343" spans="12:13" ht="15" customHeight="1">
      <c r="L343" s="6"/>
      <c r="M343" s="4"/>
    </row>
    <row r="344" spans="12:13" ht="15" customHeight="1">
      <c r="L344" s="6"/>
      <c r="M344" s="4"/>
    </row>
    <row r="345" spans="12:13" ht="15" customHeight="1">
      <c r="L345" s="6"/>
      <c r="M345" s="4"/>
    </row>
    <row r="346" spans="12:13" ht="15" customHeight="1">
      <c r="L346" s="6"/>
      <c r="M346" s="4"/>
    </row>
    <row r="347" spans="12:13" ht="15" customHeight="1">
      <c r="L347" s="6"/>
      <c r="M347" s="4"/>
    </row>
    <row r="348" spans="12:13" ht="15" customHeight="1">
      <c r="L348" s="6"/>
      <c r="M348" s="4"/>
    </row>
    <row r="349" spans="12:13" ht="15" customHeight="1">
      <c r="L349" s="6"/>
      <c r="M349" s="4"/>
    </row>
    <row r="350" spans="12:13" ht="15" customHeight="1">
      <c r="L350" s="6"/>
      <c r="M350" s="4"/>
    </row>
    <row r="351" spans="12:13" ht="15" customHeight="1">
      <c r="L351" s="6"/>
      <c r="M351" s="4"/>
    </row>
    <row r="352" spans="12:13" ht="15" customHeight="1">
      <c r="L352" s="6"/>
      <c r="M352" s="4"/>
    </row>
  </sheetData>
  <sheetProtection formatCells="0" formatColumns="0" formatRows="0" deleteColumns="0" deleteRows="0" sort="0" autoFilter="0"/>
  <protectedRanges>
    <protectedRange sqref="N1:N1048576" name="data"/>
    <protectedRange sqref="A1:M1048576" name="data_5"/>
  </protectedRanges>
  <conditionalFormatting sqref="A1:M1048576">
    <cfRule type="expression" dxfId="25" priority="1">
      <formula>$B1="BKB"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>
    <tabColor rgb="FFFF0000"/>
  </sheetPr>
  <dimension ref="A1:T223"/>
  <sheetViews>
    <sheetView showGridLines="0" zoomScale="80" zoomScaleNormal="80" workbookViewId="0">
      <selection activeCell="M1" sqref="M1:T1048576"/>
    </sheetView>
  </sheetViews>
  <sheetFormatPr defaultColWidth="15.7109375" defaultRowHeight="15" customHeight="1"/>
  <cols>
    <col min="1" max="1" width="10.7109375" style="14" customWidth="1"/>
    <col min="2" max="2" width="15.7109375" style="14" customWidth="1"/>
    <col min="3" max="3" width="15.7109375" style="18" customWidth="1"/>
    <col min="4" max="4" width="15.7109375" style="20" customWidth="1"/>
    <col min="5" max="7" width="15.7109375" style="18" customWidth="1"/>
    <col min="8" max="8" width="15.7109375" style="14" customWidth="1"/>
    <col min="9" max="12" width="15.7109375" style="11"/>
    <col min="13" max="13" width="10.7109375" style="14" customWidth="1"/>
    <col min="14" max="14" width="40.7109375" style="14" customWidth="1"/>
    <col min="15" max="15" width="15.7109375" style="18" customWidth="1"/>
    <col min="16" max="16" width="15.7109375" style="20" customWidth="1"/>
    <col min="17" max="19" width="15.7109375" style="18" customWidth="1"/>
    <col min="20" max="20" width="15.7109375" style="14" customWidth="1"/>
    <col min="21" max="16384" width="15.7109375" style="11"/>
  </cols>
  <sheetData>
    <row r="1" spans="1:20" ht="15" customHeight="1">
      <c r="A1" s="16"/>
      <c r="B1" s="16"/>
      <c r="C1" s="17"/>
      <c r="D1" s="19"/>
      <c r="E1" s="17"/>
      <c r="F1" s="17"/>
      <c r="G1" s="17"/>
      <c r="H1" s="16"/>
      <c r="I1" s="4"/>
      <c r="M1" s="16"/>
      <c r="N1" s="16"/>
      <c r="O1" s="17"/>
      <c r="P1" s="19"/>
      <c r="Q1" s="17"/>
      <c r="R1" s="17"/>
      <c r="S1" s="17"/>
      <c r="T1" s="16"/>
    </row>
    <row r="2" spans="1:20" ht="15" customHeight="1">
      <c r="A2" s="16"/>
      <c r="B2" s="16"/>
      <c r="C2" s="17"/>
      <c r="D2" s="19"/>
      <c r="E2" s="17"/>
      <c r="F2" s="17"/>
      <c r="G2" s="17"/>
      <c r="H2" s="16"/>
      <c r="I2" s="4"/>
      <c r="M2" s="16"/>
      <c r="N2" s="16"/>
      <c r="O2" s="17"/>
      <c r="P2" s="19"/>
      <c r="Q2" s="17"/>
      <c r="R2" s="17"/>
      <c r="S2" s="17"/>
      <c r="T2" s="16"/>
    </row>
    <row r="3" spans="1:20" ht="15" customHeight="1">
      <c r="A3" s="16"/>
      <c r="B3" s="16"/>
      <c r="C3" s="17"/>
      <c r="D3" s="19"/>
      <c r="E3" s="17"/>
      <c r="F3" s="17"/>
      <c r="G3" s="17"/>
      <c r="H3" s="16"/>
      <c r="I3" s="4"/>
      <c r="J3" s="15" t="s">
        <v>20</v>
      </c>
      <c r="M3" s="16"/>
      <c r="N3" s="16"/>
      <c r="O3" s="17"/>
      <c r="P3" s="19"/>
      <c r="Q3" s="17"/>
      <c r="R3" s="17"/>
      <c r="S3" s="17"/>
      <c r="T3" s="16"/>
    </row>
    <row r="4" spans="1:20" ht="15" customHeight="1">
      <c r="A4" s="16"/>
      <c r="B4" s="16"/>
      <c r="C4" s="17"/>
      <c r="D4" s="19"/>
      <c r="E4" s="17"/>
      <c r="F4" s="17"/>
      <c r="G4" s="17"/>
      <c r="H4" s="16"/>
      <c r="I4" s="4"/>
      <c r="J4" s="14" t="s">
        <v>15</v>
      </c>
      <c r="M4" s="16"/>
      <c r="N4" s="16"/>
      <c r="O4" s="17"/>
      <c r="P4" s="19"/>
      <c r="Q4" s="17"/>
      <c r="R4" s="17"/>
      <c r="S4" s="17"/>
      <c r="T4" s="16"/>
    </row>
    <row r="5" spans="1:20" ht="15" customHeight="1">
      <c r="A5" s="16"/>
      <c r="B5" s="16"/>
      <c r="C5" s="17"/>
      <c r="D5" s="19"/>
      <c r="E5" s="17"/>
      <c r="F5" s="17"/>
      <c r="G5" s="17"/>
      <c r="H5" s="16"/>
      <c r="I5" s="4"/>
      <c r="J5" s="14" t="s">
        <v>16</v>
      </c>
      <c r="M5" s="16"/>
      <c r="N5" s="16"/>
      <c r="O5" s="17"/>
      <c r="P5" s="19"/>
      <c r="Q5" s="17"/>
      <c r="R5" s="17"/>
      <c r="S5" s="17"/>
      <c r="T5" s="16"/>
    </row>
    <row r="6" spans="1:20" ht="15" customHeight="1">
      <c r="A6" s="16"/>
      <c r="B6" s="16"/>
      <c r="C6" s="17"/>
      <c r="D6" s="19"/>
      <c r="E6" s="17"/>
      <c r="F6" s="17"/>
      <c r="G6" s="17"/>
      <c r="H6" s="16"/>
      <c r="I6" s="4"/>
      <c r="J6" s="14" t="s">
        <v>17</v>
      </c>
      <c r="M6" s="16"/>
      <c r="N6" s="16"/>
      <c r="O6" s="17"/>
      <c r="P6" s="19"/>
      <c r="Q6" s="17"/>
      <c r="R6" s="17"/>
      <c r="S6" s="17"/>
      <c r="T6" s="16"/>
    </row>
    <row r="7" spans="1:20" ht="15" customHeight="1">
      <c r="A7" s="16"/>
      <c r="B7" s="16"/>
      <c r="C7" s="17"/>
      <c r="D7" s="19"/>
      <c r="E7" s="17"/>
      <c r="F7" s="17"/>
      <c r="G7" s="17"/>
      <c r="H7" s="16"/>
      <c r="I7" s="4"/>
      <c r="J7" s="14" t="s">
        <v>18</v>
      </c>
      <c r="M7" s="16"/>
      <c r="N7" s="16"/>
      <c r="O7" s="17"/>
      <c r="P7" s="19"/>
      <c r="Q7" s="17"/>
      <c r="R7" s="17"/>
      <c r="S7" s="17"/>
      <c r="T7" s="16"/>
    </row>
    <row r="8" spans="1:20" ht="15" customHeight="1">
      <c r="A8" s="16"/>
      <c r="B8" s="16"/>
      <c r="C8" s="17"/>
      <c r="D8" s="19"/>
      <c r="E8" s="17"/>
      <c r="F8" s="17"/>
      <c r="G8" s="17"/>
      <c r="H8" s="16"/>
      <c r="I8" s="4"/>
      <c r="J8" s="14" t="s">
        <v>22</v>
      </c>
      <c r="M8" s="16"/>
      <c r="N8" s="16"/>
      <c r="O8" s="17"/>
      <c r="P8" s="19"/>
      <c r="Q8" s="17"/>
      <c r="R8" s="17"/>
      <c r="S8" s="17"/>
      <c r="T8" s="16"/>
    </row>
    <row r="9" spans="1:20" ht="15" customHeight="1">
      <c r="A9" s="16"/>
      <c r="B9" s="16"/>
      <c r="C9" s="17"/>
      <c r="D9" s="19"/>
      <c r="E9" s="17"/>
      <c r="F9" s="17"/>
      <c r="G9" s="17"/>
      <c r="H9" s="16"/>
      <c r="I9" s="4"/>
      <c r="J9" s="14" t="s">
        <v>31</v>
      </c>
      <c r="M9" s="16"/>
      <c r="N9" s="16"/>
      <c r="O9" s="17"/>
      <c r="P9" s="19"/>
      <c r="Q9" s="17"/>
      <c r="R9" s="17"/>
      <c r="S9" s="17"/>
      <c r="T9" s="16"/>
    </row>
    <row r="10" spans="1:20" ht="15" customHeight="1">
      <c r="A10" s="16"/>
      <c r="B10" s="16"/>
      <c r="C10" s="17"/>
      <c r="D10" s="19"/>
      <c r="E10" s="17"/>
      <c r="F10" s="17"/>
      <c r="G10" s="17"/>
      <c r="H10" s="16"/>
      <c r="I10" s="4"/>
      <c r="J10" s="14" t="s">
        <v>30</v>
      </c>
      <c r="M10" s="16"/>
      <c r="N10" s="16"/>
      <c r="O10" s="17"/>
      <c r="P10" s="19"/>
      <c r="Q10" s="17"/>
      <c r="R10" s="17"/>
      <c r="S10" s="17"/>
      <c r="T10" s="16"/>
    </row>
    <row r="11" spans="1:20" ht="15" customHeight="1">
      <c r="A11" s="16"/>
      <c r="B11" s="16"/>
      <c r="C11" s="17"/>
      <c r="D11" s="19"/>
      <c r="E11" s="17"/>
      <c r="F11" s="17"/>
      <c r="G11" s="17"/>
      <c r="H11" s="16"/>
      <c r="I11" s="4"/>
      <c r="J11" s="14" t="s">
        <v>29</v>
      </c>
      <c r="M11" s="16"/>
      <c r="N11" s="16"/>
      <c r="O11" s="17"/>
      <c r="P11" s="19"/>
      <c r="Q11" s="17"/>
      <c r="R11" s="17"/>
      <c r="S11" s="17"/>
      <c r="T11" s="16"/>
    </row>
    <row r="12" spans="1:20" ht="15" customHeight="1">
      <c r="A12" s="16"/>
      <c r="B12" s="16"/>
      <c r="C12" s="17"/>
      <c r="D12" s="19"/>
      <c r="E12" s="17"/>
      <c r="F12" s="17"/>
      <c r="G12" s="17"/>
      <c r="H12" s="16"/>
      <c r="I12" s="4"/>
      <c r="J12" s="14" t="s">
        <v>19</v>
      </c>
      <c r="M12" s="16"/>
      <c r="N12" s="16"/>
      <c r="O12" s="17"/>
      <c r="P12" s="19"/>
      <c r="Q12" s="17"/>
      <c r="R12" s="17"/>
      <c r="S12" s="17"/>
      <c r="T12" s="16"/>
    </row>
    <row r="13" spans="1:20" ht="15" customHeight="1">
      <c r="A13" s="16"/>
      <c r="B13" s="16"/>
      <c r="C13" s="17"/>
      <c r="D13" s="19"/>
      <c r="E13" s="17"/>
      <c r="F13" s="17"/>
      <c r="G13" s="17"/>
      <c r="H13" s="16"/>
      <c r="I13" s="4"/>
      <c r="J13" s="14"/>
      <c r="M13" s="16"/>
      <c r="N13" s="16"/>
      <c r="O13" s="17"/>
      <c r="P13" s="19"/>
      <c r="Q13" s="17"/>
      <c r="R13" s="17"/>
      <c r="S13" s="17"/>
      <c r="T13" s="16"/>
    </row>
    <row r="14" spans="1:20" ht="15" customHeight="1">
      <c r="A14" s="16"/>
      <c r="B14" s="16"/>
      <c r="C14" s="17"/>
      <c r="D14" s="19"/>
      <c r="E14" s="17"/>
      <c r="F14" s="17"/>
      <c r="G14" s="17"/>
      <c r="H14" s="16"/>
      <c r="I14" s="4"/>
      <c r="J14" s="14"/>
      <c r="M14" s="16"/>
      <c r="N14" s="16"/>
      <c r="O14" s="17"/>
      <c r="P14" s="19"/>
      <c r="Q14" s="17"/>
      <c r="R14" s="17"/>
      <c r="S14" s="17"/>
      <c r="T14" s="16"/>
    </row>
    <row r="15" spans="1:20" ht="15" customHeight="1">
      <c r="A15" s="16"/>
      <c r="B15" s="16"/>
      <c r="C15" s="17"/>
      <c r="D15" s="19"/>
      <c r="E15" s="17"/>
      <c r="F15" s="17"/>
      <c r="G15" s="17"/>
      <c r="H15" s="16"/>
      <c r="I15" s="4"/>
      <c r="J15" s="4"/>
      <c r="M15" s="16"/>
      <c r="N15" s="16"/>
      <c r="O15" s="17"/>
      <c r="P15" s="19"/>
      <c r="Q15" s="17"/>
      <c r="R15" s="17"/>
      <c r="S15" s="17"/>
      <c r="T15" s="16"/>
    </row>
    <row r="16" spans="1:20" ht="15" customHeight="1">
      <c r="A16" s="16"/>
      <c r="B16" s="16"/>
      <c r="C16" s="17"/>
      <c r="D16" s="19"/>
      <c r="E16" s="17"/>
      <c r="F16" s="17"/>
      <c r="G16" s="17"/>
      <c r="H16" s="16"/>
      <c r="I16" s="4"/>
      <c r="J16" s="4"/>
      <c r="M16" s="16"/>
      <c r="N16" s="16"/>
      <c r="O16" s="17"/>
      <c r="P16" s="19"/>
      <c r="Q16" s="17"/>
      <c r="R16" s="17"/>
      <c r="S16" s="17"/>
      <c r="T16" s="16"/>
    </row>
    <row r="17" spans="1:20" ht="15" customHeight="1">
      <c r="A17" s="16"/>
      <c r="B17" s="16"/>
      <c r="C17" s="17"/>
      <c r="D17" s="19"/>
      <c r="E17" s="17"/>
      <c r="F17" s="17"/>
      <c r="G17" s="17"/>
      <c r="H17" s="16"/>
      <c r="I17" s="4"/>
      <c r="J17" s="4"/>
      <c r="M17" s="16"/>
      <c r="N17" s="16"/>
      <c r="O17" s="17"/>
      <c r="P17" s="19"/>
      <c r="Q17" s="17"/>
      <c r="R17" s="17"/>
      <c r="S17" s="17"/>
      <c r="T17" s="16"/>
    </row>
    <row r="18" spans="1:20" ht="15" customHeight="1">
      <c r="A18" s="16"/>
      <c r="B18" s="16"/>
      <c r="C18" s="17"/>
      <c r="D18" s="19"/>
      <c r="E18" s="17"/>
      <c r="F18" s="17"/>
      <c r="G18" s="17"/>
      <c r="H18" s="16"/>
      <c r="I18" s="4"/>
      <c r="J18" s="4"/>
      <c r="M18" s="16"/>
      <c r="N18" s="16"/>
      <c r="O18" s="17"/>
      <c r="P18" s="19"/>
      <c r="Q18" s="17"/>
      <c r="R18" s="17"/>
      <c r="S18" s="17"/>
      <c r="T18" s="16"/>
    </row>
    <row r="19" spans="1:20" ht="15" customHeight="1">
      <c r="A19" s="16"/>
      <c r="B19" s="16"/>
      <c r="C19" s="17"/>
      <c r="D19" s="19"/>
      <c r="E19" s="17"/>
      <c r="F19" s="17"/>
      <c r="G19" s="17"/>
      <c r="H19" s="16"/>
      <c r="I19" s="4"/>
      <c r="J19" s="4"/>
      <c r="M19" s="16"/>
      <c r="N19" s="16"/>
      <c r="O19" s="17"/>
      <c r="P19" s="19"/>
      <c r="Q19" s="17"/>
      <c r="R19" s="17"/>
      <c r="S19" s="17"/>
      <c r="T19" s="16"/>
    </row>
    <row r="20" spans="1:20" ht="15" customHeight="1">
      <c r="A20" s="16"/>
      <c r="B20" s="16"/>
      <c r="C20" s="17"/>
      <c r="D20" s="19"/>
      <c r="E20" s="17"/>
      <c r="F20" s="17"/>
      <c r="G20" s="17"/>
      <c r="H20" s="16"/>
      <c r="I20" s="4"/>
      <c r="J20" s="4"/>
      <c r="M20" s="16"/>
      <c r="N20" s="16"/>
      <c r="O20" s="17"/>
      <c r="P20" s="19"/>
      <c r="Q20" s="17"/>
      <c r="R20" s="17"/>
      <c r="S20" s="17"/>
      <c r="T20" s="16"/>
    </row>
    <row r="21" spans="1:20" ht="15" customHeight="1">
      <c r="A21" s="16"/>
      <c r="B21" s="16"/>
      <c r="C21" s="17"/>
      <c r="D21" s="19"/>
      <c r="E21" s="17"/>
      <c r="F21" s="17"/>
      <c r="G21" s="17"/>
      <c r="H21" s="16"/>
      <c r="I21" s="4"/>
      <c r="J21" s="4"/>
      <c r="M21" s="16"/>
      <c r="N21" s="16"/>
      <c r="O21" s="17"/>
      <c r="P21" s="19"/>
      <c r="Q21" s="17"/>
      <c r="R21" s="17"/>
      <c r="S21" s="17"/>
      <c r="T21" s="16"/>
    </row>
    <row r="22" spans="1:20" ht="15" customHeight="1">
      <c r="A22" s="16"/>
      <c r="B22" s="16"/>
      <c r="C22" s="17"/>
      <c r="D22" s="19"/>
      <c r="E22" s="17"/>
      <c r="F22" s="17"/>
      <c r="G22" s="17"/>
      <c r="H22" s="16"/>
      <c r="I22" s="4"/>
      <c r="J22" s="4"/>
      <c r="M22" s="16"/>
      <c r="N22" s="16"/>
      <c r="O22" s="17"/>
      <c r="P22" s="19"/>
      <c r="Q22" s="17"/>
      <c r="R22" s="17"/>
      <c r="S22" s="17"/>
      <c r="T22" s="16"/>
    </row>
    <row r="23" spans="1:20" ht="15" customHeight="1">
      <c r="A23" s="16"/>
      <c r="B23" s="16"/>
      <c r="C23" s="17"/>
      <c r="D23" s="19"/>
      <c r="E23" s="17"/>
      <c r="F23" s="17"/>
      <c r="G23" s="17"/>
      <c r="H23" s="16"/>
      <c r="I23" s="4"/>
      <c r="J23" s="4"/>
      <c r="M23" s="16"/>
      <c r="N23" s="16"/>
      <c r="O23" s="17"/>
      <c r="P23" s="19"/>
      <c r="Q23" s="17"/>
      <c r="R23" s="17"/>
      <c r="S23" s="17"/>
      <c r="T23" s="16"/>
    </row>
    <row r="24" spans="1:20" ht="15" customHeight="1">
      <c r="A24" s="16"/>
      <c r="B24" s="16"/>
      <c r="C24" s="17"/>
      <c r="D24" s="19"/>
      <c r="E24" s="17"/>
      <c r="F24" s="17"/>
      <c r="G24" s="17"/>
      <c r="H24" s="16"/>
      <c r="I24" s="4"/>
      <c r="J24" s="4"/>
      <c r="M24" s="16"/>
      <c r="N24" s="16"/>
      <c r="O24" s="17"/>
      <c r="P24" s="19"/>
      <c r="Q24" s="17"/>
      <c r="R24" s="17"/>
      <c r="S24" s="17"/>
      <c r="T24" s="16"/>
    </row>
    <row r="25" spans="1:20" ht="15" customHeight="1">
      <c r="A25" s="16"/>
      <c r="B25" s="16"/>
      <c r="C25" s="17"/>
      <c r="D25" s="19"/>
      <c r="E25" s="17"/>
      <c r="F25" s="17"/>
      <c r="G25" s="17"/>
      <c r="H25" s="16"/>
      <c r="I25" s="4"/>
      <c r="J25" s="4"/>
      <c r="M25" s="16"/>
      <c r="N25" s="16"/>
      <c r="O25" s="17"/>
      <c r="P25" s="19"/>
      <c r="Q25" s="17"/>
      <c r="R25" s="17"/>
      <c r="S25" s="17"/>
      <c r="T25" s="16"/>
    </row>
    <row r="26" spans="1:20" ht="15" customHeight="1">
      <c r="A26" s="16"/>
      <c r="B26" s="16"/>
      <c r="C26" s="17"/>
      <c r="D26" s="19"/>
      <c r="E26" s="17"/>
      <c r="F26" s="17"/>
      <c r="G26" s="17"/>
      <c r="H26" s="16"/>
      <c r="I26" s="4"/>
      <c r="J26" s="4"/>
      <c r="M26" s="16"/>
      <c r="N26" s="16"/>
      <c r="O26" s="17"/>
      <c r="P26" s="19"/>
      <c r="Q26" s="17"/>
      <c r="R26" s="17"/>
      <c r="S26" s="17"/>
      <c r="T26" s="16"/>
    </row>
    <row r="27" spans="1:20" ht="15" customHeight="1">
      <c r="A27" s="16"/>
      <c r="B27" s="16"/>
      <c r="C27" s="17"/>
      <c r="D27" s="19"/>
      <c r="E27" s="17"/>
      <c r="F27" s="17"/>
      <c r="G27" s="17"/>
      <c r="H27" s="16"/>
      <c r="I27" s="4"/>
      <c r="J27" s="4"/>
      <c r="M27" s="16"/>
      <c r="N27" s="16"/>
      <c r="O27" s="17"/>
      <c r="P27" s="19"/>
      <c r="Q27" s="17"/>
      <c r="R27" s="17"/>
      <c r="S27" s="17"/>
      <c r="T27" s="16"/>
    </row>
    <row r="28" spans="1:20" ht="15" customHeight="1">
      <c r="A28" s="16"/>
      <c r="B28" s="16"/>
      <c r="C28" s="17"/>
      <c r="D28" s="19"/>
      <c r="E28" s="17"/>
      <c r="F28" s="17"/>
      <c r="G28" s="17"/>
      <c r="H28" s="16"/>
      <c r="I28" s="4"/>
      <c r="J28" s="4"/>
      <c r="K28" s="4"/>
      <c r="L28" s="4"/>
      <c r="M28" s="16"/>
      <c r="N28" s="16"/>
      <c r="O28" s="17"/>
      <c r="P28" s="19"/>
      <c r="Q28" s="17"/>
      <c r="R28" s="17"/>
      <c r="S28" s="17"/>
      <c r="T28" s="16"/>
    </row>
    <row r="29" spans="1:20" ht="15" customHeight="1">
      <c r="A29" s="16"/>
      <c r="B29" s="16"/>
      <c r="C29" s="17"/>
      <c r="D29" s="19"/>
      <c r="E29" s="17"/>
      <c r="F29" s="17"/>
      <c r="G29" s="17"/>
      <c r="H29" s="16"/>
      <c r="I29" s="4"/>
      <c r="J29" s="4"/>
      <c r="K29" s="4"/>
      <c r="L29" s="4"/>
      <c r="M29" s="16"/>
      <c r="N29" s="16"/>
      <c r="O29" s="17"/>
      <c r="P29" s="19"/>
      <c r="Q29" s="17"/>
      <c r="R29" s="17"/>
      <c r="S29" s="17"/>
      <c r="T29" s="16"/>
    </row>
    <row r="30" spans="1:20" ht="15" customHeight="1">
      <c r="A30" s="16"/>
      <c r="B30" s="16"/>
      <c r="C30" s="17"/>
      <c r="D30" s="19"/>
      <c r="E30" s="17"/>
      <c r="F30" s="17"/>
      <c r="G30" s="17"/>
      <c r="H30" s="16"/>
      <c r="I30" s="4"/>
      <c r="J30" s="4"/>
      <c r="K30" s="4"/>
      <c r="L30" s="4"/>
      <c r="M30" s="16"/>
      <c r="N30" s="16"/>
      <c r="O30" s="17"/>
      <c r="P30" s="19"/>
      <c r="Q30" s="17"/>
      <c r="R30" s="17"/>
      <c r="S30" s="17"/>
      <c r="T30" s="16"/>
    </row>
    <row r="31" spans="1:20" ht="15" customHeight="1">
      <c r="A31" s="16"/>
      <c r="B31" s="16"/>
      <c r="C31" s="17"/>
      <c r="D31" s="19"/>
      <c r="E31" s="17"/>
      <c r="F31" s="17"/>
      <c r="G31" s="17"/>
      <c r="H31" s="16"/>
      <c r="I31" s="4"/>
      <c r="J31" s="4"/>
      <c r="K31" s="4"/>
      <c r="L31" s="4"/>
      <c r="M31" s="16"/>
      <c r="N31" s="16"/>
      <c r="O31" s="17"/>
      <c r="P31" s="19"/>
      <c r="Q31" s="17"/>
      <c r="R31" s="17"/>
      <c r="S31" s="17"/>
      <c r="T31" s="16"/>
    </row>
    <row r="32" spans="1:20" ht="15" customHeight="1">
      <c r="A32" s="16"/>
      <c r="B32" s="16"/>
      <c r="C32" s="17"/>
      <c r="D32" s="19"/>
      <c r="E32" s="17"/>
      <c r="F32" s="17"/>
      <c r="G32" s="17"/>
      <c r="H32" s="16"/>
      <c r="I32" s="4"/>
      <c r="J32" s="4"/>
      <c r="K32" s="4"/>
      <c r="L32" s="4"/>
      <c r="M32" s="16"/>
      <c r="N32" s="16"/>
      <c r="O32" s="17"/>
      <c r="P32" s="19"/>
      <c r="Q32" s="17"/>
      <c r="R32" s="17"/>
      <c r="S32" s="17"/>
      <c r="T32" s="16"/>
    </row>
    <row r="33" spans="1:20" ht="15" customHeight="1">
      <c r="A33" s="16"/>
      <c r="B33" s="16"/>
      <c r="C33" s="17"/>
      <c r="D33" s="19"/>
      <c r="E33" s="17"/>
      <c r="F33" s="17"/>
      <c r="G33" s="17"/>
      <c r="H33" s="16"/>
      <c r="I33" s="4"/>
      <c r="J33" s="4"/>
      <c r="K33" s="4"/>
      <c r="L33" s="4"/>
      <c r="M33" s="16"/>
      <c r="N33" s="16"/>
      <c r="O33" s="17"/>
      <c r="P33" s="19"/>
      <c r="Q33" s="17"/>
      <c r="R33" s="17"/>
      <c r="S33" s="17"/>
      <c r="T33" s="16"/>
    </row>
    <row r="34" spans="1:20" ht="15" customHeight="1">
      <c r="A34" s="16"/>
      <c r="B34" s="16"/>
      <c r="C34" s="17"/>
      <c r="D34" s="19"/>
      <c r="E34" s="17"/>
      <c r="F34" s="17"/>
      <c r="G34" s="17"/>
      <c r="H34" s="16"/>
      <c r="I34" s="4"/>
      <c r="J34" s="4"/>
      <c r="K34" s="4"/>
      <c r="L34" s="4"/>
      <c r="M34" s="16"/>
      <c r="N34" s="16"/>
      <c r="O34" s="17"/>
      <c r="P34" s="19"/>
      <c r="Q34" s="17"/>
      <c r="R34" s="17"/>
      <c r="S34" s="17"/>
      <c r="T34" s="16"/>
    </row>
    <row r="35" spans="1:20" ht="15" customHeight="1">
      <c r="A35" s="16"/>
      <c r="B35" s="16"/>
      <c r="C35" s="17"/>
      <c r="D35" s="19"/>
      <c r="E35" s="17"/>
      <c r="F35" s="17"/>
      <c r="G35" s="17"/>
      <c r="H35" s="16"/>
      <c r="I35" s="4"/>
      <c r="J35" s="4"/>
      <c r="K35" s="4"/>
      <c r="L35" s="4"/>
      <c r="M35" s="16"/>
      <c r="N35" s="16"/>
      <c r="O35" s="17"/>
      <c r="P35" s="19"/>
      <c r="Q35" s="17"/>
      <c r="R35" s="17"/>
      <c r="S35" s="17"/>
      <c r="T35" s="16"/>
    </row>
    <row r="36" spans="1:20" ht="15" customHeight="1">
      <c r="A36" s="16"/>
      <c r="B36" s="16"/>
      <c r="C36" s="17"/>
      <c r="D36" s="19"/>
      <c r="E36" s="17"/>
      <c r="F36" s="17"/>
      <c r="G36" s="17"/>
      <c r="H36" s="16"/>
      <c r="I36" s="4"/>
      <c r="J36" s="4"/>
      <c r="K36" s="4"/>
      <c r="L36" s="4"/>
      <c r="M36" s="16"/>
      <c r="N36" s="16"/>
      <c r="O36" s="17"/>
      <c r="P36" s="19"/>
      <c r="Q36" s="17"/>
      <c r="R36" s="17"/>
      <c r="S36" s="17"/>
      <c r="T36" s="16"/>
    </row>
    <row r="37" spans="1:20" ht="15" customHeight="1">
      <c r="A37" s="16"/>
      <c r="B37" s="16"/>
      <c r="C37" s="17"/>
      <c r="D37" s="19"/>
      <c r="E37" s="17"/>
      <c r="F37" s="17"/>
      <c r="G37" s="17"/>
      <c r="H37" s="16"/>
      <c r="I37" s="4"/>
      <c r="J37" s="4"/>
      <c r="K37" s="4"/>
      <c r="L37" s="4"/>
      <c r="M37" s="16"/>
      <c r="N37" s="16"/>
      <c r="O37" s="17"/>
      <c r="P37" s="19"/>
      <c r="Q37" s="17"/>
      <c r="R37" s="17"/>
      <c r="S37" s="17"/>
      <c r="T37" s="16"/>
    </row>
    <row r="38" spans="1:20" ht="15" customHeight="1">
      <c r="A38" s="16"/>
      <c r="B38" s="16"/>
      <c r="C38" s="17"/>
      <c r="D38" s="19"/>
      <c r="E38" s="17"/>
      <c r="F38" s="17"/>
      <c r="G38" s="17"/>
      <c r="H38" s="16"/>
      <c r="I38" s="4"/>
      <c r="J38" s="4"/>
      <c r="K38" s="4"/>
      <c r="L38" s="4"/>
      <c r="M38" s="16"/>
      <c r="N38" s="16"/>
      <c r="O38" s="17"/>
      <c r="P38" s="19"/>
      <c r="Q38" s="17"/>
      <c r="R38" s="17"/>
      <c r="S38" s="17"/>
      <c r="T38" s="16"/>
    </row>
    <row r="39" spans="1:20" ht="15" customHeight="1">
      <c r="A39" s="16"/>
      <c r="B39" s="16"/>
      <c r="C39" s="17"/>
      <c r="D39" s="19"/>
      <c r="E39" s="17"/>
      <c r="F39" s="17"/>
      <c r="G39" s="17"/>
      <c r="H39" s="16"/>
      <c r="I39" s="4"/>
      <c r="J39" s="4"/>
      <c r="K39" s="4"/>
      <c r="L39" s="4"/>
      <c r="M39" s="16"/>
      <c r="N39" s="16"/>
      <c r="O39" s="17"/>
      <c r="P39" s="19"/>
      <c r="Q39" s="17"/>
      <c r="R39" s="17"/>
      <c r="S39" s="17"/>
      <c r="T39" s="16"/>
    </row>
    <row r="40" spans="1:20" ht="15" customHeight="1">
      <c r="A40" s="16"/>
      <c r="B40" s="16"/>
      <c r="C40" s="17"/>
      <c r="D40" s="19"/>
      <c r="E40" s="17"/>
      <c r="F40" s="17"/>
      <c r="G40" s="17"/>
      <c r="H40" s="16"/>
      <c r="I40" s="4"/>
      <c r="J40" s="4"/>
      <c r="K40" s="4"/>
      <c r="L40" s="4"/>
      <c r="M40" s="16"/>
      <c r="N40" s="16"/>
      <c r="O40" s="17"/>
      <c r="P40" s="19"/>
      <c r="Q40" s="17"/>
      <c r="R40" s="17"/>
      <c r="S40" s="17"/>
      <c r="T40" s="16"/>
    </row>
    <row r="41" spans="1:20" ht="15" customHeight="1">
      <c r="A41" s="16"/>
      <c r="B41" s="16"/>
      <c r="C41" s="17"/>
      <c r="D41" s="19"/>
      <c r="E41" s="17"/>
      <c r="F41" s="17"/>
      <c r="G41" s="17"/>
      <c r="H41" s="16"/>
      <c r="I41" s="4"/>
      <c r="J41" s="4"/>
      <c r="K41" s="4"/>
      <c r="L41" s="4"/>
      <c r="M41" s="16"/>
      <c r="N41" s="16"/>
      <c r="O41" s="17"/>
      <c r="P41" s="19"/>
      <c r="Q41" s="17"/>
      <c r="R41" s="17"/>
      <c r="S41" s="17"/>
      <c r="T41" s="16"/>
    </row>
    <row r="42" spans="1:20" ht="15" customHeight="1">
      <c r="A42" s="16"/>
      <c r="B42" s="16"/>
      <c r="C42" s="17"/>
      <c r="D42" s="19"/>
      <c r="E42" s="17"/>
      <c r="F42" s="17"/>
      <c r="G42" s="17"/>
      <c r="H42" s="16"/>
      <c r="I42" s="4"/>
      <c r="J42" s="4"/>
      <c r="K42" s="4"/>
      <c r="L42" s="4"/>
      <c r="M42" s="16"/>
      <c r="N42" s="16"/>
      <c r="O42" s="17"/>
      <c r="P42" s="19"/>
      <c r="Q42" s="17"/>
      <c r="R42" s="17"/>
      <c r="S42" s="17"/>
      <c r="T42" s="16"/>
    </row>
    <row r="43" spans="1:20" ht="15" customHeight="1">
      <c r="A43" s="16"/>
      <c r="B43" s="16"/>
      <c r="C43" s="17"/>
      <c r="D43" s="19"/>
      <c r="E43" s="17"/>
      <c r="F43" s="17"/>
      <c r="G43" s="17"/>
      <c r="H43" s="16"/>
      <c r="I43" s="4"/>
      <c r="J43" s="4"/>
      <c r="K43" s="4"/>
      <c r="L43" s="4"/>
      <c r="M43" s="16"/>
      <c r="N43" s="16"/>
      <c r="O43" s="17"/>
      <c r="P43" s="19"/>
      <c r="Q43" s="17"/>
      <c r="R43" s="17"/>
      <c r="S43" s="17"/>
      <c r="T43" s="16"/>
    </row>
    <row r="44" spans="1:20" ht="15" customHeight="1">
      <c r="A44" s="16"/>
      <c r="B44" s="16"/>
      <c r="C44" s="17"/>
      <c r="D44" s="19"/>
      <c r="E44" s="17"/>
      <c r="F44" s="17"/>
      <c r="G44" s="17"/>
      <c r="H44" s="16"/>
      <c r="I44" s="4"/>
      <c r="J44" s="4"/>
      <c r="K44" s="4"/>
      <c r="L44" s="4"/>
      <c r="M44" s="16"/>
      <c r="N44" s="16"/>
      <c r="O44" s="17"/>
      <c r="P44" s="19"/>
      <c r="Q44" s="17"/>
      <c r="R44" s="17"/>
      <c r="S44" s="17"/>
      <c r="T44" s="16"/>
    </row>
    <row r="45" spans="1:20" ht="15" customHeight="1">
      <c r="A45" s="16"/>
      <c r="B45" s="16"/>
      <c r="C45" s="17"/>
      <c r="D45" s="19"/>
      <c r="E45" s="17"/>
      <c r="F45" s="17"/>
      <c r="G45" s="17"/>
      <c r="H45" s="16"/>
      <c r="I45" s="4"/>
      <c r="J45" s="4"/>
      <c r="K45" s="4"/>
      <c r="L45" s="4"/>
      <c r="M45" s="16"/>
      <c r="N45" s="16"/>
      <c r="O45" s="17"/>
      <c r="P45" s="19"/>
      <c r="Q45" s="17"/>
      <c r="R45" s="17"/>
      <c r="S45" s="17"/>
      <c r="T45" s="16"/>
    </row>
    <row r="46" spans="1:20" ht="15" customHeight="1">
      <c r="A46" s="16"/>
      <c r="B46" s="16"/>
      <c r="C46" s="17"/>
      <c r="D46" s="19"/>
      <c r="E46" s="17"/>
      <c r="F46" s="17"/>
      <c r="G46" s="17"/>
      <c r="H46" s="16"/>
      <c r="I46" s="4"/>
      <c r="J46" s="4"/>
      <c r="K46" s="4"/>
      <c r="L46" s="4"/>
      <c r="M46" s="16"/>
      <c r="N46" s="16"/>
      <c r="O46" s="17"/>
      <c r="P46" s="19"/>
      <c r="Q46" s="17"/>
      <c r="R46" s="17"/>
      <c r="S46" s="17"/>
      <c r="T46" s="16"/>
    </row>
    <row r="47" spans="1:20" ht="15" customHeight="1">
      <c r="A47" s="16"/>
      <c r="B47" s="16"/>
      <c r="C47" s="17"/>
      <c r="D47" s="19"/>
      <c r="E47" s="17"/>
      <c r="F47" s="17"/>
      <c r="G47" s="17"/>
      <c r="H47" s="16"/>
      <c r="I47" s="4"/>
      <c r="J47" s="4"/>
      <c r="K47" s="4"/>
      <c r="L47" s="4"/>
      <c r="M47" s="16"/>
      <c r="N47" s="16"/>
      <c r="O47" s="17"/>
      <c r="P47" s="19"/>
      <c r="Q47" s="17"/>
      <c r="R47" s="17"/>
      <c r="S47" s="17"/>
      <c r="T47" s="16"/>
    </row>
    <row r="48" spans="1:20" ht="15" customHeight="1">
      <c r="A48" s="16"/>
      <c r="B48" s="16"/>
      <c r="C48" s="17"/>
      <c r="D48" s="19"/>
      <c r="E48" s="17"/>
      <c r="F48" s="17"/>
      <c r="G48" s="17"/>
      <c r="H48" s="16"/>
      <c r="I48" s="4"/>
      <c r="J48" s="4"/>
      <c r="K48" s="4"/>
      <c r="L48" s="4"/>
      <c r="M48" s="16"/>
      <c r="N48" s="16"/>
      <c r="O48" s="17"/>
      <c r="P48" s="19"/>
      <c r="Q48" s="17"/>
      <c r="R48" s="17"/>
      <c r="S48" s="17"/>
      <c r="T48" s="16"/>
    </row>
    <row r="49" spans="1:20" ht="15" customHeight="1">
      <c r="A49" s="16"/>
      <c r="B49" s="16"/>
      <c r="C49" s="17"/>
      <c r="D49" s="19"/>
      <c r="E49" s="17"/>
      <c r="F49" s="17"/>
      <c r="G49" s="17"/>
      <c r="H49" s="16"/>
      <c r="I49" s="4"/>
      <c r="J49" s="4"/>
      <c r="K49" s="4"/>
      <c r="L49" s="4"/>
      <c r="M49" s="16"/>
      <c r="N49" s="16"/>
      <c r="O49" s="17"/>
      <c r="P49" s="19"/>
      <c r="Q49" s="17"/>
      <c r="R49" s="17"/>
      <c r="S49" s="17"/>
      <c r="T49" s="16"/>
    </row>
    <row r="50" spans="1:20" ht="15" customHeight="1">
      <c r="A50" s="16"/>
      <c r="B50" s="16"/>
      <c r="C50" s="17"/>
      <c r="D50" s="19"/>
      <c r="E50" s="17"/>
      <c r="F50" s="17"/>
      <c r="G50" s="17"/>
      <c r="H50" s="16"/>
      <c r="I50" s="4"/>
      <c r="J50" s="4"/>
      <c r="K50" s="4"/>
      <c r="L50" s="4"/>
      <c r="M50" s="16"/>
      <c r="N50" s="16"/>
      <c r="O50" s="17"/>
      <c r="P50" s="19"/>
      <c r="Q50" s="17"/>
      <c r="R50" s="17"/>
      <c r="S50" s="17"/>
      <c r="T50" s="16"/>
    </row>
    <row r="51" spans="1:20" ht="15" customHeight="1">
      <c r="A51" s="16"/>
      <c r="B51" s="16"/>
      <c r="C51" s="17"/>
      <c r="D51" s="19"/>
      <c r="E51" s="17"/>
      <c r="F51" s="17"/>
      <c r="G51" s="17"/>
      <c r="H51" s="16"/>
      <c r="I51" s="4"/>
      <c r="J51" s="4"/>
      <c r="K51" s="4"/>
      <c r="L51" s="4"/>
      <c r="M51" s="16"/>
      <c r="N51" s="16"/>
      <c r="O51" s="17"/>
      <c r="P51" s="19"/>
      <c r="Q51" s="17"/>
      <c r="R51" s="17"/>
      <c r="S51" s="17"/>
      <c r="T51" s="16"/>
    </row>
    <row r="52" spans="1:20" ht="15" customHeight="1">
      <c r="A52" s="16"/>
      <c r="B52" s="16"/>
      <c r="C52" s="17"/>
      <c r="D52" s="19"/>
      <c r="E52" s="17"/>
      <c r="F52" s="17"/>
      <c r="G52" s="17"/>
      <c r="H52" s="16"/>
      <c r="I52" s="4"/>
      <c r="J52" s="4"/>
      <c r="K52" s="4"/>
      <c r="L52" s="4"/>
      <c r="M52" s="16"/>
      <c r="N52" s="16"/>
      <c r="O52" s="17"/>
      <c r="P52" s="19"/>
      <c r="Q52" s="17"/>
      <c r="R52" s="17"/>
      <c r="S52" s="17"/>
      <c r="T52" s="16"/>
    </row>
    <row r="53" spans="1:20" ht="15" customHeight="1">
      <c r="A53" s="16"/>
      <c r="B53" s="16"/>
      <c r="C53" s="17"/>
      <c r="D53" s="19"/>
      <c r="E53" s="17"/>
      <c r="F53" s="17"/>
      <c r="G53" s="17"/>
      <c r="H53" s="16"/>
      <c r="I53" s="4"/>
      <c r="J53" s="4"/>
      <c r="K53" s="4"/>
      <c r="L53" s="4"/>
      <c r="M53" s="16"/>
      <c r="N53" s="16"/>
      <c r="O53" s="17"/>
      <c r="P53" s="19"/>
      <c r="Q53" s="17"/>
      <c r="R53" s="17"/>
      <c r="S53" s="17"/>
      <c r="T53" s="16"/>
    </row>
    <row r="54" spans="1:20" ht="15" customHeight="1">
      <c r="A54" s="16"/>
      <c r="B54" s="16"/>
      <c r="C54" s="17"/>
      <c r="D54" s="19"/>
      <c r="E54" s="17"/>
      <c r="F54" s="17"/>
      <c r="G54" s="17"/>
      <c r="H54" s="16"/>
      <c r="I54" s="4"/>
      <c r="J54" s="4"/>
      <c r="K54" s="4"/>
      <c r="L54" s="4"/>
      <c r="M54" s="16"/>
      <c r="N54" s="16"/>
      <c r="O54" s="17"/>
      <c r="P54" s="19"/>
      <c r="Q54" s="17"/>
      <c r="R54" s="17"/>
      <c r="S54" s="17"/>
      <c r="T54" s="16"/>
    </row>
    <row r="55" spans="1:20" ht="15" customHeight="1">
      <c r="A55" s="16"/>
      <c r="B55" s="16"/>
      <c r="C55" s="17"/>
      <c r="D55" s="19"/>
      <c r="E55" s="17"/>
      <c r="F55" s="17"/>
      <c r="G55" s="17"/>
      <c r="H55" s="16"/>
      <c r="I55" s="4"/>
      <c r="J55" s="4"/>
      <c r="K55" s="4"/>
      <c r="L55" s="4"/>
      <c r="M55" s="16"/>
      <c r="N55" s="16"/>
      <c r="O55" s="17"/>
      <c r="P55" s="19"/>
      <c r="Q55" s="17"/>
      <c r="R55" s="17"/>
      <c r="S55" s="17"/>
      <c r="T55" s="16"/>
    </row>
    <row r="56" spans="1:20" ht="15" customHeight="1">
      <c r="A56" s="16"/>
      <c r="B56" s="16"/>
      <c r="C56" s="17"/>
      <c r="D56" s="19"/>
      <c r="E56" s="17"/>
      <c r="F56" s="17"/>
      <c r="G56" s="17"/>
      <c r="H56" s="16"/>
      <c r="I56" s="4"/>
      <c r="J56" s="4"/>
      <c r="K56" s="4"/>
      <c r="L56" s="4"/>
      <c r="M56" s="16"/>
      <c r="N56" s="16"/>
      <c r="O56" s="17"/>
      <c r="P56" s="19"/>
      <c r="Q56" s="17"/>
      <c r="R56" s="17"/>
      <c r="S56" s="17"/>
      <c r="T56" s="16"/>
    </row>
    <row r="57" spans="1:20" ht="15" customHeight="1">
      <c r="A57" s="16"/>
      <c r="B57" s="16"/>
      <c r="C57" s="17"/>
      <c r="D57" s="19"/>
      <c r="E57" s="17"/>
      <c r="F57" s="17"/>
      <c r="G57" s="17"/>
      <c r="H57" s="16"/>
      <c r="I57" s="4"/>
      <c r="J57" s="4"/>
      <c r="K57" s="4"/>
      <c r="L57" s="4"/>
      <c r="M57" s="16"/>
      <c r="N57" s="16"/>
      <c r="O57" s="17"/>
      <c r="P57" s="19"/>
      <c r="Q57" s="17"/>
      <c r="R57" s="17"/>
      <c r="S57" s="17"/>
      <c r="T57" s="16"/>
    </row>
    <row r="58" spans="1:20" ht="15" customHeight="1">
      <c r="A58" s="16"/>
      <c r="B58" s="16"/>
      <c r="C58" s="17"/>
      <c r="D58" s="19"/>
      <c r="E58" s="17"/>
      <c r="F58" s="17"/>
      <c r="G58" s="17"/>
      <c r="H58" s="16"/>
      <c r="I58" s="4"/>
      <c r="J58" s="4"/>
      <c r="K58" s="4"/>
      <c r="L58" s="4"/>
      <c r="M58" s="16"/>
      <c r="N58" s="16"/>
      <c r="O58" s="17"/>
      <c r="P58" s="19"/>
      <c r="Q58" s="17"/>
      <c r="R58" s="17"/>
      <c r="S58" s="17"/>
      <c r="T58" s="16"/>
    </row>
    <row r="59" spans="1:20" ht="15" customHeight="1">
      <c r="A59" s="16"/>
      <c r="B59" s="16"/>
      <c r="C59" s="17"/>
      <c r="D59" s="19"/>
      <c r="E59" s="17"/>
      <c r="F59" s="17"/>
      <c r="G59" s="17"/>
      <c r="H59" s="16"/>
      <c r="I59" s="4"/>
      <c r="J59" s="4"/>
      <c r="K59" s="4"/>
      <c r="L59" s="4"/>
      <c r="M59" s="16"/>
      <c r="N59" s="16"/>
      <c r="O59" s="17"/>
      <c r="P59" s="19"/>
      <c r="Q59" s="17"/>
      <c r="R59" s="17"/>
      <c r="S59" s="17"/>
      <c r="T59" s="16"/>
    </row>
    <row r="60" spans="1:20" ht="15" customHeight="1">
      <c r="A60" s="16"/>
      <c r="B60" s="16"/>
      <c r="C60" s="17"/>
      <c r="D60" s="19"/>
      <c r="E60" s="17"/>
      <c r="F60" s="17"/>
      <c r="G60" s="17"/>
      <c r="H60" s="16"/>
      <c r="I60" s="4"/>
      <c r="J60" s="4"/>
      <c r="K60" s="4"/>
      <c r="L60" s="4"/>
      <c r="M60" s="16"/>
      <c r="N60" s="16"/>
      <c r="O60" s="17"/>
      <c r="P60" s="19"/>
      <c r="Q60" s="17"/>
      <c r="R60" s="17"/>
      <c r="S60" s="17"/>
      <c r="T60" s="16"/>
    </row>
    <row r="61" spans="1:20" ht="15" customHeight="1">
      <c r="A61" s="16"/>
      <c r="B61" s="16"/>
      <c r="C61" s="17"/>
      <c r="D61" s="19"/>
      <c r="E61" s="17"/>
      <c r="F61" s="17"/>
      <c r="G61" s="17"/>
      <c r="H61" s="16"/>
      <c r="I61" s="4"/>
      <c r="J61" s="4"/>
      <c r="K61" s="4"/>
      <c r="L61" s="4"/>
      <c r="M61" s="16"/>
      <c r="N61" s="16"/>
      <c r="O61" s="17"/>
      <c r="P61" s="19"/>
      <c r="Q61" s="17"/>
      <c r="R61" s="17"/>
      <c r="S61" s="17"/>
      <c r="T61" s="16"/>
    </row>
    <row r="62" spans="1:20" ht="15" customHeight="1">
      <c r="A62" s="16"/>
      <c r="B62" s="16"/>
      <c r="C62" s="17"/>
      <c r="D62" s="19"/>
      <c r="E62" s="17"/>
      <c r="F62" s="17"/>
      <c r="G62" s="17"/>
      <c r="H62" s="16"/>
      <c r="I62" s="4"/>
      <c r="J62" s="4"/>
      <c r="K62" s="4"/>
      <c r="L62" s="4"/>
      <c r="M62" s="16"/>
      <c r="N62" s="16"/>
      <c r="O62" s="17"/>
      <c r="P62" s="19"/>
      <c r="Q62" s="17"/>
      <c r="R62" s="17"/>
      <c r="S62" s="17"/>
      <c r="T62" s="16"/>
    </row>
    <row r="63" spans="1:20" ht="15" customHeight="1">
      <c r="A63" s="16"/>
      <c r="B63" s="16"/>
      <c r="C63" s="17"/>
      <c r="D63" s="19"/>
      <c r="E63" s="17"/>
      <c r="F63" s="17"/>
      <c r="G63" s="17"/>
      <c r="H63" s="16"/>
      <c r="I63" s="4"/>
      <c r="J63" s="4"/>
      <c r="K63" s="4"/>
      <c r="L63" s="4"/>
      <c r="M63" s="16"/>
      <c r="N63" s="16"/>
      <c r="O63" s="17"/>
      <c r="P63" s="19"/>
      <c r="Q63" s="17"/>
      <c r="R63" s="17"/>
      <c r="S63" s="17"/>
      <c r="T63" s="16"/>
    </row>
    <row r="64" spans="1:20" ht="15" customHeight="1">
      <c r="A64" s="16"/>
      <c r="B64" s="16"/>
      <c r="C64" s="17"/>
      <c r="D64" s="19"/>
      <c r="E64" s="17"/>
      <c r="F64" s="17"/>
      <c r="G64" s="17"/>
      <c r="H64" s="16"/>
      <c r="I64" s="4"/>
      <c r="J64" s="4"/>
      <c r="K64" s="4"/>
      <c r="L64" s="4"/>
      <c r="M64" s="16"/>
      <c r="N64" s="16"/>
      <c r="O64" s="17"/>
      <c r="P64" s="19"/>
      <c r="Q64" s="17"/>
      <c r="R64" s="17"/>
      <c r="S64" s="17"/>
      <c r="T64" s="16"/>
    </row>
    <row r="65" spans="1:20" ht="15" customHeight="1">
      <c r="A65" s="16"/>
      <c r="B65" s="16"/>
      <c r="C65" s="17"/>
      <c r="D65" s="19"/>
      <c r="E65" s="17"/>
      <c r="F65" s="17"/>
      <c r="G65" s="17"/>
      <c r="H65" s="16"/>
      <c r="I65" s="4"/>
      <c r="J65" s="4"/>
      <c r="K65" s="4"/>
      <c r="L65" s="4"/>
      <c r="M65" s="16"/>
      <c r="N65" s="16"/>
      <c r="O65" s="17"/>
      <c r="P65" s="19"/>
      <c r="Q65" s="17"/>
      <c r="R65" s="17"/>
      <c r="S65" s="17"/>
      <c r="T65" s="16"/>
    </row>
    <row r="66" spans="1:20" ht="15" customHeight="1">
      <c r="A66" s="16"/>
      <c r="B66" s="16"/>
      <c r="C66" s="17"/>
      <c r="D66" s="19"/>
      <c r="E66" s="17"/>
      <c r="F66" s="17"/>
      <c r="G66" s="17"/>
      <c r="H66" s="16"/>
      <c r="I66" s="4"/>
      <c r="J66" s="4"/>
      <c r="K66" s="4"/>
      <c r="L66" s="4"/>
      <c r="M66" s="16"/>
      <c r="N66" s="16"/>
      <c r="O66" s="17"/>
      <c r="P66" s="19"/>
      <c r="Q66" s="17"/>
      <c r="R66" s="17"/>
      <c r="S66" s="17"/>
      <c r="T66" s="16"/>
    </row>
    <row r="67" spans="1:20" ht="15" customHeight="1">
      <c r="A67" s="16"/>
      <c r="B67" s="16"/>
      <c r="C67" s="17"/>
      <c r="D67" s="19"/>
      <c r="E67" s="17"/>
      <c r="F67" s="17"/>
      <c r="G67" s="17"/>
      <c r="H67" s="16"/>
      <c r="I67" s="4"/>
      <c r="J67" s="4"/>
      <c r="K67" s="4"/>
      <c r="L67" s="4"/>
      <c r="M67" s="16"/>
      <c r="N67" s="16"/>
      <c r="O67" s="17"/>
      <c r="P67" s="19"/>
      <c r="Q67" s="17"/>
      <c r="R67" s="17"/>
      <c r="S67" s="17"/>
      <c r="T67" s="16"/>
    </row>
    <row r="68" spans="1:20" ht="15" customHeight="1">
      <c r="A68" s="16"/>
      <c r="B68" s="16"/>
      <c r="C68" s="17"/>
      <c r="D68" s="19"/>
      <c r="E68" s="17"/>
      <c r="F68" s="17"/>
      <c r="G68" s="17"/>
      <c r="H68" s="16"/>
      <c r="I68" s="4"/>
      <c r="J68" s="4"/>
      <c r="K68" s="4"/>
      <c r="L68" s="4"/>
      <c r="M68" s="16"/>
      <c r="N68" s="16"/>
      <c r="O68" s="17"/>
      <c r="P68" s="19"/>
      <c r="Q68" s="17"/>
      <c r="R68" s="17"/>
      <c r="S68" s="17"/>
      <c r="T68" s="16"/>
    </row>
    <row r="69" spans="1:20" ht="15" customHeight="1">
      <c r="A69" s="16"/>
      <c r="B69" s="16"/>
      <c r="C69" s="17"/>
      <c r="D69" s="19"/>
      <c r="E69" s="17"/>
      <c r="F69" s="17"/>
      <c r="G69" s="17"/>
      <c r="H69" s="16"/>
      <c r="I69" s="4"/>
      <c r="J69" s="4"/>
      <c r="K69" s="4"/>
      <c r="L69" s="4"/>
      <c r="M69" s="16"/>
      <c r="N69" s="16"/>
      <c r="O69" s="17"/>
      <c r="P69" s="19"/>
      <c r="Q69" s="17"/>
      <c r="R69" s="17"/>
      <c r="S69" s="17"/>
      <c r="T69" s="16"/>
    </row>
    <row r="70" spans="1:20" ht="15" customHeight="1">
      <c r="A70" s="16"/>
      <c r="B70" s="16"/>
      <c r="C70" s="17"/>
      <c r="D70" s="19"/>
      <c r="E70" s="17"/>
      <c r="F70" s="17"/>
      <c r="G70" s="17"/>
      <c r="H70" s="16"/>
      <c r="I70" s="4"/>
      <c r="J70" s="4"/>
      <c r="K70" s="4"/>
      <c r="L70" s="4"/>
      <c r="M70" s="16"/>
      <c r="N70" s="16"/>
      <c r="O70" s="17"/>
      <c r="P70" s="19"/>
      <c r="Q70" s="17"/>
      <c r="R70" s="17"/>
      <c r="S70" s="17"/>
      <c r="T70" s="16"/>
    </row>
    <row r="71" spans="1:20" ht="15" customHeight="1">
      <c r="A71" s="16"/>
      <c r="B71" s="16"/>
      <c r="C71" s="17"/>
      <c r="D71" s="19"/>
      <c r="E71" s="17"/>
      <c r="F71" s="17"/>
      <c r="G71" s="17"/>
      <c r="H71" s="16"/>
      <c r="I71" s="4"/>
      <c r="J71" s="4"/>
      <c r="K71" s="4"/>
      <c r="L71" s="4"/>
      <c r="M71" s="16"/>
      <c r="N71" s="16"/>
      <c r="O71" s="17"/>
      <c r="P71" s="19"/>
      <c r="Q71" s="17"/>
      <c r="R71" s="17"/>
      <c r="S71" s="17"/>
      <c r="T71" s="16"/>
    </row>
    <row r="72" spans="1:20" ht="15" customHeight="1">
      <c r="A72" s="16"/>
      <c r="B72" s="16"/>
      <c r="C72" s="17"/>
      <c r="D72" s="19"/>
      <c r="E72" s="17"/>
      <c r="F72" s="17"/>
      <c r="G72" s="17"/>
      <c r="H72" s="16"/>
      <c r="I72" s="4"/>
      <c r="J72" s="4"/>
      <c r="K72" s="4"/>
      <c r="L72" s="4"/>
      <c r="M72" s="16"/>
      <c r="N72" s="16"/>
      <c r="O72" s="17"/>
      <c r="P72" s="19"/>
      <c r="Q72" s="17"/>
      <c r="R72" s="17"/>
      <c r="S72" s="17"/>
      <c r="T72" s="16"/>
    </row>
    <row r="73" spans="1:20" ht="15" customHeight="1">
      <c r="A73" s="16"/>
      <c r="B73" s="16"/>
      <c r="C73" s="17"/>
      <c r="D73" s="19"/>
      <c r="E73" s="17"/>
      <c r="F73" s="17"/>
      <c r="G73" s="17"/>
      <c r="H73" s="16"/>
      <c r="I73" s="4"/>
      <c r="J73" s="4"/>
      <c r="K73" s="4"/>
      <c r="L73" s="4"/>
      <c r="M73" s="16"/>
      <c r="N73" s="16"/>
      <c r="O73" s="17"/>
      <c r="P73" s="19"/>
      <c r="Q73" s="17"/>
      <c r="R73" s="17"/>
      <c r="S73" s="17"/>
      <c r="T73" s="16"/>
    </row>
    <row r="74" spans="1:20" ht="15" customHeight="1">
      <c r="A74" s="16"/>
      <c r="B74" s="16"/>
      <c r="C74" s="17"/>
      <c r="D74" s="19"/>
      <c r="E74" s="17"/>
      <c r="F74" s="17"/>
      <c r="G74" s="17"/>
      <c r="H74" s="16"/>
      <c r="I74" s="4"/>
      <c r="J74" s="4"/>
      <c r="K74" s="4"/>
      <c r="L74" s="4"/>
      <c r="M74" s="16"/>
      <c r="N74" s="16"/>
      <c r="O74" s="17"/>
      <c r="P74" s="19"/>
      <c r="Q74" s="17"/>
      <c r="R74" s="17"/>
      <c r="S74" s="17"/>
      <c r="T74" s="16"/>
    </row>
    <row r="75" spans="1:20" ht="15" customHeight="1">
      <c r="A75" s="16"/>
      <c r="B75" s="16"/>
      <c r="C75" s="17"/>
      <c r="D75" s="19"/>
      <c r="E75" s="17"/>
      <c r="F75" s="17"/>
      <c r="G75" s="17"/>
      <c r="H75" s="16"/>
      <c r="I75" s="4"/>
      <c r="J75" s="4"/>
      <c r="K75" s="4"/>
      <c r="L75" s="4"/>
      <c r="M75" s="16"/>
      <c r="N75" s="16"/>
      <c r="O75" s="17"/>
      <c r="P75" s="19"/>
      <c r="Q75" s="17"/>
      <c r="R75" s="17"/>
      <c r="S75" s="17"/>
      <c r="T75" s="16"/>
    </row>
    <row r="76" spans="1:20" ht="15" customHeight="1">
      <c r="A76" s="16"/>
      <c r="B76" s="16"/>
      <c r="C76" s="17"/>
      <c r="D76" s="19"/>
      <c r="E76" s="17"/>
      <c r="F76" s="17"/>
      <c r="G76" s="17"/>
      <c r="H76" s="16"/>
      <c r="I76" s="4"/>
      <c r="J76" s="4"/>
      <c r="K76" s="4"/>
      <c r="L76" s="4"/>
      <c r="M76" s="16"/>
      <c r="N76" s="16"/>
      <c r="O76" s="17"/>
      <c r="P76" s="19"/>
      <c r="Q76" s="17"/>
      <c r="R76" s="17"/>
      <c r="S76" s="17"/>
      <c r="T76" s="16"/>
    </row>
    <row r="77" spans="1:20" ht="15" customHeight="1">
      <c r="A77" s="16"/>
      <c r="B77" s="16"/>
      <c r="C77" s="17"/>
      <c r="D77" s="19"/>
      <c r="E77" s="17"/>
      <c r="F77" s="17"/>
      <c r="G77" s="17"/>
      <c r="H77" s="16"/>
      <c r="I77" s="4"/>
      <c r="J77" s="4"/>
      <c r="K77" s="4"/>
      <c r="L77" s="4"/>
      <c r="M77" s="16"/>
      <c r="N77" s="16"/>
      <c r="O77" s="17"/>
      <c r="P77" s="19"/>
      <c r="Q77" s="17"/>
      <c r="R77" s="17"/>
      <c r="S77" s="17"/>
      <c r="T77" s="16"/>
    </row>
    <row r="78" spans="1:20" ht="15" customHeight="1">
      <c r="A78" s="16"/>
      <c r="B78" s="16"/>
      <c r="C78" s="17"/>
      <c r="D78" s="19"/>
      <c r="E78" s="17"/>
      <c r="F78" s="17"/>
      <c r="G78" s="17"/>
      <c r="H78" s="16"/>
      <c r="I78" s="4"/>
      <c r="J78" s="4"/>
      <c r="K78" s="4"/>
      <c r="L78" s="4"/>
      <c r="M78" s="16"/>
      <c r="N78" s="16"/>
      <c r="O78" s="17"/>
      <c r="P78" s="19"/>
      <c r="Q78" s="17"/>
      <c r="R78" s="17"/>
      <c r="S78" s="17"/>
      <c r="T78" s="16"/>
    </row>
    <row r="79" spans="1:20" ht="15" customHeight="1">
      <c r="A79" s="16"/>
      <c r="B79" s="16"/>
      <c r="C79" s="17"/>
      <c r="D79" s="19"/>
      <c r="E79" s="17"/>
      <c r="F79" s="17"/>
      <c r="G79" s="17"/>
      <c r="H79" s="16"/>
      <c r="I79" s="4"/>
      <c r="J79" s="4"/>
      <c r="K79" s="4"/>
      <c r="L79" s="4"/>
      <c r="M79" s="16"/>
      <c r="N79" s="16"/>
      <c r="O79" s="17"/>
      <c r="P79" s="19"/>
      <c r="Q79" s="17"/>
      <c r="R79" s="17"/>
      <c r="S79" s="17"/>
      <c r="T79" s="16"/>
    </row>
    <row r="80" spans="1:20" ht="15" customHeight="1">
      <c r="A80" s="16"/>
      <c r="B80" s="16"/>
      <c r="C80" s="17"/>
      <c r="D80" s="19"/>
      <c r="E80" s="17"/>
      <c r="F80" s="17"/>
      <c r="G80" s="17"/>
      <c r="H80" s="16"/>
      <c r="I80" s="4"/>
      <c r="J80" s="4"/>
      <c r="K80" s="4"/>
      <c r="L80" s="4"/>
      <c r="M80" s="16"/>
      <c r="N80" s="16"/>
      <c r="O80" s="17"/>
      <c r="P80" s="19"/>
      <c r="Q80" s="17"/>
      <c r="R80" s="17"/>
      <c r="S80" s="17"/>
      <c r="T80" s="16"/>
    </row>
    <row r="81" spans="1:20" ht="15" customHeight="1">
      <c r="A81" s="16"/>
      <c r="B81" s="16"/>
      <c r="C81" s="17"/>
      <c r="D81" s="19"/>
      <c r="E81" s="17"/>
      <c r="F81" s="17"/>
      <c r="G81" s="17"/>
      <c r="H81" s="16"/>
      <c r="I81" s="4"/>
      <c r="J81" s="4"/>
      <c r="K81" s="4"/>
      <c r="L81" s="4"/>
      <c r="M81" s="16"/>
      <c r="N81" s="16"/>
      <c r="O81" s="17"/>
      <c r="P81" s="19"/>
      <c r="Q81" s="17"/>
      <c r="R81" s="17"/>
      <c r="S81" s="17"/>
      <c r="T81" s="16"/>
    </row>
    <row r="82" spans="1:20" ht="15" customHeight="1">
      <c r="A82" s="16"/>
      <c r="B82" s="16"/>
      <c r="C82" s="17"/>
      <c r="D82" s="19"/>
      <c r="E82" s="17"/>
      <c r="F82" s="17"/>
      <c r="G82" s="17"/>
      <c r="H82" s="16"/>
      <c r="I82" s="4"/>
      <c r="J82" s="4"/>
      <c r="K82" s="4"/>
      <c r="L82" s="4"/>
      <c r="M82" s="16"/>
      <c r="N82" s="16"/>
      <c r="O82" s="17"/>
      <c r="P82" s="19"/>
      <c r="Q82" s="17"/>
      <c r="R82" s="17"/>
      <c r="S82" s="17"/>
      <c r="T82" s="16"/>
    </row>
    <row r="83" spans="1:20" ht="15" customHeight="1">
      <c r="A83" s="16"/>
      <c r="B83" s="16"/>
      <c r="C83" s="17"/>
      <c r="D83" s="19"/>
      <c r="E83" s="17"/>
      <c r="F83" s="17"/>
      <c r="G83" s="17"/>
      <c r="H83" s="16"/>
      <c r="I83" s="4"/>
      <c r="J83" s="4"/>
      <c r="K83" s="4"/>
      <c r="L83" s="4"/>
      <c r="M83" s="16"/>
      <c r="N83" s="16"/>
      <c r="O83" s="17"/>
      <c r="P83" s="19"/>
      <c r="Q83" s="17"/>
      <c r="R83" s="17"/>
      <c r="S83" s="17"/>
      <c r="T83" s="16"/>
    </row>
    <row r="84" spans="1:20" ht="15" customHeight="1">
      <c r="A84" s="16"/>
      <c r="B84" s="16"/>
      <c r="C84" s="17"/>
      <c r="D84" s="19"/>
      <c r="E84" s="17"/>
      <c r="F84" s="17"/>
      <c r="G84" s="17"/>
      <c r="H84" s="16"/>
      <c r="I84" s="4"/>
      <c r="J84" s="4"/>
      <c r="K84" s="4"/>
      <c r="L84" s="4"/>
      <c r="M84" s="16"/>
      <c r="N84" s="16"/>
      <c r="O84" s="17"/>
      <c r="P84" s="19"/>
      <c r="Q84" s="17"/>
      <c r="R84" s="17"/>
      <c r="S84" s="17"/>
      <c r="T84" s="16"/>
    </row>
    <row r="85" spans="1:20" ht="15" customHeight="1">
      <c r="A85" s="16"/>
      <c r="B85" s="16"/>
      <c r="C85" s="17"/>
      <c r="D85" s="19"/>
      <c r="E85" s="17"/>
      <c r="F85" s="17"/>
      <c r="G85" s="17"/>
      <c r="H85" s="16"/>
      <c r="I85" s="4"/>
      <c r="J85" s="4"/>
      <c r="K85" s="4"/>
      <c r="L85" s="4"/>
      <c r="M85" s="16"/>
      <c r="N85" s="16"/>
      <c r="O85" s="17"/>
      <c r="P85" s="19"/>
      <c r="Q85" s="17"/>
      <c r="R85" s="17"/>
      <c r="S85" s="17"/>
      <c r="T85" s="16"/>
    </row>
    <row r="86" spans="1:20" ht="15" customHeight="1">
      <c r="A86" s="16"/>
      <c r="B86" s="16"/>
      <c r="C86" s="17"/>
      <c r="D86" s="19"/>
      <c r="E86" s="17"/>
      <c r="F86" s="17"/>
      <c r="G86" s="17"/>
      <c r="H86" s="16"/>
      <c r="I86" s="4"/>
      <c r="J86" s="4"/>
      <c r="K86" s="4"/>
      <c r="L86" s="4"/>
      <c r="M86" s="16"/>
      <c r="N86" s="16"/>
      <c r="O86" s="17"/>
      <c r="P86" s="19"/>
      <c r="Q86" s="17"/>
      <c r="R86" s="17"/>
      <c r="S86" s="17"/>
      <c r="T86" s="16"/>
    </row>
    <row r="87" spans="1:20" ht="15" customHeight="1">
      <c r="A87" s="16"/>
      <c r="B87" s="16"/>
      <c r="C87" s="17"/>
      <c r="D87" s="19"/>
      <c r="E87" s="17"/>
      <c r="F87" s="17"/>
      <c r="G87" s="17"/>
      <c r="H87" s="16"/>
      <c r="I87" s="4"/>
      <c r="J87" s="4"/>
      <c r="K87" s="4"/>
      <c r="L87" s="4"/>
      <c r="M87" s="16"/>
      <c r="N87" s="16"/>
      <c r="O87" s="17"/>
      <c r="P87" s="19"/>
      <c r="Q87" s="17"/>
      <c r="R87" s="17"/>
      <c r="S87" s="17"/>
      <c r="T87" s="16"/>
    </row>
    <row r="88" spans="1:20" ht="15" customHeight="1">
      <c r="A88" s="16"/>
      <c r="B88" s="16"/>
      <c r="C88" s="17"/>
      <c r="D88" s="19"/>
      <c r="E88" s="17"/>
      <c r="F88" s="17"/>
      <c r="G88" s="17"/>
      <c r="H88" s="16"/>
      <c r="I88" s="4"/>
      <c r="J88" s="4"/>
      <c r="K88" s="4"/>
      <c r="L88" s="4"/>
      <c r="M88" s="16"/>
      <c r="N88" s="16"/>
      <c r="O88" s="17"/>
      <c r="P88" s="19"/>
      <c r="Q88" s="17"/>
      <c r="R88" s="17"/>
      <c r="S88" s="17"/>
      <c r="T88" s="16"/>
    </row>
    <row r="89" spans="1:20" ht="15" customHeight="1">
      <c r="A89" s="16"/>
      <c r="B89" s="16"/>
      <c r="C89" s="17"/>
      <c r="D89" s="19"/>
      <c r="E89" s="17"/>
      <c r="F89" s="17"/>
      <c r="G89" s="17"/>
      <c r="H89" s="16"/>
      <c r="I89" s="4"/>
      <c r="J89" s="4"/>
      <c r="K89" s="4"/>
      <c r="L89" s="4"/>
      <c r="M89" s="16"/>
      <c r="N89" s="16"/>
      <c r="O89" s="17"/>
      <c r="P89" s="19"/>
      <c r="Q89" s="17"/>
      <c r="R89" s="17"/>
      <c r="S89" s="17"/>
      <c r="T89" s="16"/>
    </row>
    <row r="90" spans="1:20" ht="15" customHeight="1">
      <c r="A90" s="16"/>
      <c r="B90" s="16"/>
      <c r="C90" s="17"/>
      <c r="D90" s="19"/>
      <c r="E90" s="17"/>
      <c r="F90" s="17"/>
      <c r="G90" s="17"/>
      <c r="H90" s="16"/>
      <c r="I90" s="4"/>
      <c r="J90" s="4"/>
      <c r="K90" s="4"/>
      <c r="L90" s="4"/>
      <c r="M90" s="16"/>
      <c r="N90" s="16"/>
      <c r="O90" s="17"/>
      <c r="P90" s="19"/>
      <c r="Q90" s="17"/>
      <c r="R90" s="17"/>
      <c r="S90" s="17"/>
      <c r="T90" s="16"/>
    </row>
    <row r="91" spans="1:20" ht="15" customHeight="1">
      <c r="A91" s="16"/>
      <c r="B91" s="16"/>
      <c r="C91" s="17"/>
      <c r="D91" s="19"/>
      <c r="E91" s="17"/>
      <c r="F91" s="17"/>
      <c r="G91" s="17"/>
      <c r="H91" s="16"/>
      <c r="I91" s="4"/>
      <c r="J91" s="4"/>
      <c r="K91" s="4"/>
      <c r="L91" s="4"/>
      <c r="M91" s="16"/>
      <c r="N91" s="16"/>
      <c r="O91" s="17"/>
      <c r="P91" s="19"/>
      <c r="Q91" s="17"/>
      <c r="R91" s="17"/>
      <c r="S91" s="17"/>
      <c r="T91" s="16"/>
    </row>
    <row r="92" spans="1:20" ht="15" customHeight="1">
      <c r="A92" s="16"/>
      <c r="B92" s="16"/>
      <c r="C92" s="17"/>
      <c r="D92" s="19"/>
      <c r="E92" s="17"/>
      <c r="F92" s="17"/>
      <c r="G92" s="17"/>
      <c r="H92" s="16"/>
      <c r="I92" s="4"/>
      <c r="J92" s="4"/>
      <c r="K92" s="4"/>
      <c r="L92" s="4"/>
      <c r="M92" s="16"/>
      <c r="N92" s="16"/>
      <c r="O92" s="17"/>
      <c r="P92" s="19"/>
      <c r="Q92" s="17"/>
      <c r="R92" s="17"/>
      <c r="S92" s="17"/>
      <c r="T92" s="16"/>
    </row>
    <row r="93" spans="1:20" ht="15" customHeight="1">
      <c r="A93" s="16"/>
      <c r="B93" s="16"/>
      <c r="C93" s="17"/>
      <c r="D93" s="19"/>
      <c r="E93" s="17"/>
      <c r="F93" s="17"/>
      <c r="G93" s="17"/>
      <c r="H93" s="16"/>
      <c r="I93" s="4"/>
      <c r="J93" s="4"/>
      <c r="K93" s="4"/>
      <c r="L93" s="4"/>
      <c r="M93" s="16"/>
      <c r="N93" s="16"/>
      <c r="O93" s="17"/>
      <c r="P93" s="19"/>
      <c r="Q93" s="17"/>
      <c r="R93" s="17"/>
      <c r="S93" s="17"/>
      <c r="T93" s="16"/>
    </row>
    <row r="94" spans="1:20" ht="15" customHeight="1">
      <c r="A94" s="16"/>
      <c r="B94" s="16"/>
      <c r="C94" s="17"/>
      <c r="D94" s="19"/>
      <c r="E94" s="17"/>
      <c r="F94" s="17"/>
      <c r="G94" s="17"/>
      <c r="H94" s="16"/>
      <c r="I94" s="4"/>
      <c r="J94" s="4"/>
      <c r="K94" s="4"/>
      <c r="L94" s="4"/>
      <c r="M94" s="16"/>
      <c r="N94" s="16"/>
      <c r="O94" s="17"/>
      <c r="P94" s="19"/>
      <c r="Q94" s="17"/>
      <c r="R94" s="17"/>
      <c r="S94" s="17"/>
      <c r="T94" s="16"/>
    </row>
    <row r="95" spans="1:20" ht="15" customHeight="1">
      <c r="A95" s="16"/>
      <c r="B95" s="16"/>
      <c r="C95" s="17"/>
      <c r="D95" s="19"/>
      <c r="E95" s="17"/>
      <c r="F95" s="17"/>
      <c r="G95" s="17"/>
      <c r="H95" s="16"/>
      <c r="I95" s="4"/>
      <c r="J95" s="4"/>
      <c r="K95" s="4"/>
      <c r="L95" s="4"/>
      <c r="M95" s="16"/>
      <c r="N95" s="16"/>
      <c r="O95" s="17"/>
      <c r="P95" s="19"/>
      <c r="Q95" s="17"/>
      <c r="R95" s="17"/>
      <c r="S95" s="17"/>
      <c r="T95" s="16"/>
    </row>
    <row r="96" spans="1:20" ht="15" customHeight="1">
      <c r="A96" s="16"/>
      <c r="B96" s="16"/>
      <c r="C96" s="17"/>
      <c r="D96" s="19"/>
      <c r="E96" s="17"/>
      <c r="F96" s="17"/>
      <c r="G96" s="17"/>
      <c r="H96" s="16"/>
      <c r="I96" s="4"/>
      <c r="J96" s="4"/>
      <c r="K96" s="4"/>
      <c r="L96" s="4"/>
      <c r="M96" s="16"/>
      <c r="N96" s="16"/>
      <c r="O96" s="17"/>
      <c r="P96" s="19"/>
      <c r="Q96" s="17"/>
      <c r="R96" s="17"/>
      <c r="S96" s="17"/>
      <c r="T96" s="16"/>
    </row>
    <row r="97" spans="1:20" ht="15" customHeight="1">
      <c r="A97" s="16"/>
      <c r="B97" s="16"/>
      <c r="C97" s="17"/>
      <c r="D97" s="19"/>
      <c r="E97" s="17"/>
      <c r="F97" s="17"/>
      <c r="G97" s="17"/>
      <c r="H97" s="16"/>
      <c r="I97" s="4"/>
      <c r="J97" s="4"/>
      <c r="K97" s="4"/>
      <c r="L97" s="4"/>
      <c r="M97" s="16"/>
      <c r="N97" s="16"/>
      <c r="O97" s="17"/>
      <c r="P97" s="19"/>
      <c r="Q97" s="17"/>
      <c r="R97" s="17"/>
      <c r="S97" s="17"/>
      <c r="T97" s="16"/>
    </row>
    <row r="98" spans="1:20" ht="15" customHeight="1">
      <c r="A98" s="16"/>
      <c r="B98" s="16"/>
      <c r="C98" s="17"/>
      <c r="D98" s="19"/>
      <c r="E98" s="17"/>
      <c r="F98" s="17"/>
      <c r="G98" s="17"/>
      <c r="H98" s="16"/>
      <c r="I98" s="4"/>
      <c r="J98" s="4"/>
      <c r="K98" s="4"/>
      <c r="L98" s="4"/>
      <c r="M98" s="16"/>
      <c r="N98" s="16"/>
      <c r="O98" s="17"/>
      <c r="P98" s="19"/>
      <c r="Q98" s="17"/>
      <c r="R98" s="17"/>
      <c r="S98" s="17"/>
      <c r="T98" s="16"/>
    </row>
    <row r="99" spans="1:20" ht="15" customHeight="1">
      <c r="A99" s="16"/>
      <c r="B99" s="16"/>
      <c r="C99" s="17"/>
      <c r="D99" s="19"/>
      <c r="E99" s="17"/>
      <c r="F99" s="17"/>
      <c r="G99" s="17"/>
      <c r="H99" s="16"/>
      <c r="I99" s="4"/>
      <c r="J99" s="4"/>
      <c r="K99" s="4"/>
      <c r="L99" s="4"/>
      <c r="M99" s="16"/>
      <c r="N99" s="16"/>
      <c r="O99" s="17"/>
      <c r="P99" s="19"/>
      <c r="Q99" s="17"/>
      <c r="R99" s="17"/>
      <c r="S99" s="17"/>
      <c r="T99" s="16"/>
    </row>
    <row r="100" spans="1:20" ht="15" customHeight="1">
      <c r="A100" s="16"/>
      <c r="B100" s="16"/>
      <c r="C100" s="17"/>
      <c r="D100" s="19"/>
      <c r="E100" s="17"/>
      <c r="F100" s="17"/>
      <c r="G100" s="17"/>
      <c r="H100" s="16"/>
      <c r="I100" s="4"/>
      <c r="J100" s="4"/>
      <c r="K100" s="4"/>
      <c r="L100" s="4"/>
      <c r="M100" s="16"/>
      <c r="N100" s="16"/>
      <c r="O100" s="17"/>
      <c r="P100" s="19"/>
      <c r="Q100" s="17"/>
      <c r="R100" s="17"/>
      <c r="S100" s="17"/>
      <c r="T100" s="16"/>
    </row>
    <row r="101" spans="1:20" ht="15" customHeight="1">
      <c r="A101" s="16"/>
      <c r="B101" s="16"/>
      <c r="C101" s="17"/>
      <c r="D101" s="19"/>
      <c r="E101" s="17"/>
      <c r="F101" s="17"/>
      <c r="G101" s="17"/>
      <c r="H101" s="16"/>
      <c r="I101" s="4"/>
      <c r="J101" s="4"/>
      <c r="K101" s="4"/>
      <c r="L101" s="4"/>
      <c r="M101" s="16"/>
      <c r="N101" s="16"/>
      <c r="O101" s="17"/>
      <c r="P101" s="19"/>
      <c r="Q101" s="17"/>
      <c r="R101" s="17"/>
      <c r="S101" s="17"/>
      <c r="T101" s="16"/>
    </row>
    <row r="102" spans="1:20" ht="15" customHeight="1">
      <c r="A102" s="16"/>
      <c r="B102" s="16"/>
      <c r="C102" s="17"/>
      <c r="D102" s="19"/>
      <c r="E102" s="17"/>
      <c r="F102" s="17"/>
      <c r="G102" s="17"/>
      <c r="H102" s="16"/>
      <c r="I102" s="4"/>
      <c r="J102" s="4"/>
      <c r="K102" s="4"/>
      <c r="L102" s="4"/>
      <c r="M102" s="16"/>
      <c r="N102" s="16"/>
      <c r="O102" s="17"/>
      <c r="P102" s="19"/>
      <c r="Q102" s="17"/>
      <c r="R102" s="17"/>
      <c r="S102" s="17"/>
      <c r="T102" s="16"/>
    </row>
    <row r="103" spans="1:20" ht="15" customHeight="1">
      <c r="A103" s="16"/>
      <c r="B103" s="16"/>
      <c r="C103" s="17"/>
      <c r="D103" s="19"/>
      <c r="E103" s="17"/>
      <c r="F103" s="17"/>
      <c r="G103" s="17"/>
      <c r="H103" s="16"/>
      <c r="I103" s="4"/>
      <c r="J103" s="4"/>
      <c r="K103" s="4"/>
      <c r="L103" s="4"/>
      <c r="M103" s="16"/>
      <c r="N103" s="16"/>
      <c r="O103" s="17"/>
      <c r="P103" s="19"/>
      <c r="Q103" s="17"/>
      <c r="R103" s="17"/>
      <c r="S103" s="17"/>
      <c r="T103" s="16"/>
    </row>
    <row r="104" spans="1:20" ht="15" customHeight="1">
      <c r="A104" s="16"/>
      <c r="B104" s="16"/>
      <c r="C104" s="17"/>
      <c r="D104" s="19"/>
      <c r="E104" s="17"/>
      <c r="F104" s="17"/>
      <c r="G104" s="17"/>
      <c r="H104" s="16"/>
      <c r="I104" s="4"/>
      <c r="J104" s="4"/>
      <c r="K104" s="4"/>
      <c r="L104" s="4"/>
      <c r="M104" s="16"/>
      <c r="N104" s="16"/>
      <c r="O104" s="17"/>
      <c r="P104" s="19"/>
      <c r="Q104" s="17"/>
      <c r="R104" s="17"/>
      <c r="S104" s="17"/>
      <c r="T104" s="16"/>
    </row>
    <row r="105" spans="1:20" ht="15" customHeight="1">
      <c r="A105" s="16"/>
      <c r="B105" s="16"/>
      <c r="C105" s="17"/>
      <c r="D105" s="19"/>
      <c r="E105" s="17"/>
      <c r="F105" s="17"/>
      <c r="G105" s="17"/>
      <c r="H105" s="16"/>
      <c r="I105" s="4"/>
      <c r="J105" s="4"/>
      <c r="K105" s="4"/>
      <c r="L105" s="4"/>
      <c r="M105" s="16"/>
      <c r="N105" s="16"/>
      <c r="O105" s="17"/>
      <c r="P105" s="19"/>
      <c r="Q105" s="17"/>
      <c r="R105" s="17"/>
      <c r="S105" s="17"/>
      <c r="T105" s="16"/>
    </row>
    <row r="106" spans="1:20" ht="15" customHeight="1">
      <c r="A106" s="16"/>
      <c r="B106" s="16"/>
      <c r="C106" s="17"/>
      <c r="D106" s="19"/>
      <c r="E106" s="17"/>
      <c r="F106" s="17"/>
      <c r="G106" s="17"/>
      <c r="H106" s="16"/>
      <c r="I106" s="4"/>
      <c r="J106" s="4"/>
      <c r="K106" s="4"/>
      <c r="L106" s="4"/>
      <c r="M106" s="16"/>
      <c r="N106" s="16"/>
      <c r="O106" s="17"/>
      <c r="P106" s="19"/>
      <c r="Q106" s="17"/>
      <c r="R106" s="17"/>
      <c r="S106" s="17"/>
      <c r="T106" s="16"/>
    </row>
    <row r="107" spans="1:20" ht="15" customHeight="1">
      <c r="A107" s="16"/>
      <c r="B107" s="16"/>
      <c r="C107" s="17"/>
      <c r="D107" s="19"/>
      <c r="E107" s="17"/>
      <c r="F107" s="17"/>
      <c r="G107" s="17"/>
      <c r="H107" s="16"/>
      <c r="I107" s="4"/>
      <c r="J107" s="4"/>
      <c r="K107" s="4"/>
      <c r="L107" s="4"/>
      <c r="M107" s="16"/>
      <c r="N107" s="16"/>
      <c r="O107" s="17"/>
      <c r="P107" s="19"/>
      <c r="Q107" s="17"/>
      <c r="R107" s="17"/>
      <c r="S107" s="17"/>
      <c r="T107" s="16"/>
    </row>
    <row r="108" spans="1:20" ht="15" customHeight="1">
      <c r="A108" s="16"/>
      <c r="B108" s="16"/>
      <c r="C108" s="17"/>
      <c r="D108" s="19"/>
      <c r="E108" s="17"/>
      <c r="F108" s="17"/>
      <c r="G108" s="17"/>
      <c r="H108" s="16"/>
      <c r="I108" s="4"/>
      <c r="J108" s="4"/>
      <c r="K108" s="4"/>
      <c r="L108" s="4"/>
      <c r="M108" s="16"/>
      <c r="N108" s="16"/>
      <c r="O108" s="17"/>
      <c r="P108" s="19"/>
      <c r="Q108" s="17"/>
      <c r="R108" s="17"/>
      <c r="S108" s="17"/>
      <c r="T108" s="16"/>
    </row>
    <row r="109" spans="1:20" ht="15" customHeight="1">
      <c r="A109" s="16"/>
      <c r="B109" s="16"/>
      <c r="C109" s="17"/>
      <c r="D109" s="19"/>
      <c r="E109" s="17"/>
      <c r="F109" s="17"/>
      <c r="G109" s="17"/>
      <c r="H109" s="16"/>
      <c r="I109" s="4"/>
      <c r="J109" s="4"/>
      <c r="K109" s="4"/>
      <c r="L109" s="4"/>
      <c r="M109" s="16"/>
      <c r="N109" s="16"/>
      <c r="O109" s="17"/>
      <c r="P109" s="19"/>
      <c r="Q109" s="17"/>
      <c r="R109" s="17"/>
      <c r="S109" s="17"/>
      <c r="T109" s="16"/>
    </row>
    <row r="110" spans="1:20" ht="15" customHeight="1">
      <c r="A110" s="16"/>
      <c r="B110" s="16"/>
      <c r="C110" s="17"/>
      <c r="D110" s="19"/>
      <c r="E110" s="17"/>
      <c r="F110" s="17"/>
      <c r="G110" s="17"/>
      <c r="H110" s="16"/>
      <c r="I110" s="4"/>
      <c r="J110" s="4"/>
      <c r="K110" s="4"/>
      <c r="L110" s="4"/>
      <c r="M110" s="16"/>
      <c r="N110" s="16"/>
      <c r="O110" s="17"/>
      <c r="P110" s="19"/>
      <c r="Q110" s="17"/>
      <c r="R110" s="17"/>
      <c r="S110" s="17"/>
      <c r="T110" s="16"/>
    </row>
    <row r="111" spans="1:20" ht="15" customHeight="1">
      <c r="A111" s="16"/>
      <c r="B111" s="16"/>
      <c r="C111" s="17"/>
      <c r="D111" s="19"/>
      <c r="E111" s="17"/>
      <c r="F111" s="17"/>
      <c r="G111" s="17"/>
      <c r="H111" s="16"/>
      <c r="I111" s="4"/>
      <c r="J111" s="4"/>
      <c r="K111" s="4"/>
      <c r="L111" s="4"/>
      <c r="M111" s="16"/>
      <c r="N111" s="16"/>
      <c r="O111" s="17"/>
      <c r="P111" s="19"/>
      <c r="Q111" s="17"/>
      <c r="R111" s="17"/>
      <c r="S111" s="17"/>
      <c r="T111" s="16"/>
    </row>
    <row r="112" spans="1:20" ht="15" customHeight="1">
      <c r="A112" s="16"/>
      <c r="B112" s="16"/>
      <c r="C112" s="17"/>
      <c r="D112" s="19"/>
      <c r="E112" s="17"/>
      <c r="F112" s="17"/>
      <c r="G112" s="17"/>
      <c r="H112" s="16"/>
      <c r="I112" s="4"/>
      <c r="J112" s="4"/>
      <c r="K112" s="4"/>
      <c r="L112" s="4"/>
      <c r="M112" s="16"/>
      <c r="N112" s="16"/>
      <c r="O112" s="17"/>
      <c r="P112" s="19"/>
      <c r="Q112" s="17"/>
      <c r="R112" s="17"/>
      <c r="S112" s="17"/>
      <c r="T112" s="16"/>
    </row>
    <row r="113" spans="1:20" ht="15" customHeight="1">
      <c r="A113" s="16"/>
      <c r="B113" s="16"/>
      <c r="C113" s="17"/>
      <c r="D113" s="19"/>
      <c r="E113" s="17"/>
      <c r="F113" s="17"/>
      <c r="G113" s="17"/>
      <c r="H113" s="16"/>
      <c r="I113" s="4"/>
      <c r="J113" s="4"/>
      <c r="K113" s="4"/>
      <c r="L113" s="4"/>
      <c r="M113" s="16"/>
      <c r="N113" s="16"/>
      <c r="O113" s="17"/>
      <c r="P113" s="19"/>
      <c r="Q113" s="17"/>
      <c r="R113" s="17"/>
      <c r="S113" s="17"/>
      <c r="T113" s="16"/>
    </row>
    <row r="114" spans="1:20" ht="15" customHeight="1">
      <c r="A114" s="16"/>
      <c r="B114" s="16"/>
      <c r="C114" s="17"/>
      <c r="D114" s="19"/>
      <c r="E114" s="17"/>
      <c r="F114" s="17"/>
      <c r="G114" s="17"/>
      <c r="H114" s="16"/>
      <c r="I114" s="4"/>
      <c r="J114" s="4"/>
      <c r="K114" s="4"/>
      <c r="L114" s="4"/>
      <c r="M114" s="16"/>
      <c r="N114" s="16"/>
      <c r="O114" s="17"/>
      <c r="P114" s="19"/>
      <c r="Q114" s="17"/>
      <c r="R114" s="17"/>
      <c r="S114" s="17"/>
      <c r="T114" s="16"/>
    </row>
    <row r="115" spans="1:20" ht="15" customHeight="1">
      <c r="A115" s="16"/>
      <c r="B115" s="16"/>
      <c r="C115" s="17"/>
      <c r="D115" s="19"/>
      <c r="E115" s="17"/>
      <c r="F115" s="17"/>
      <c r="G115" s="17"/>
      <c r="H115" s="16"/>
      <c r="I115" s="4"/>
      <c r="J115" s="4"/>
      <c r="K115" s="4"/>
      <c r="L115" s="4"/>
      <c r="M115" s="16"/>
      <c r="N115" s="16"/>
      <c r="O115" s="17"/>
      <c r="P115" s="19"/>
      <c r="Q115" s="17"/>
      <c r="R115" s="17"/>
      <c r="S115" s="17"/>
      <c r="T115" s="16"/>
    </row>
    <row r="116" spans="1:20" ht="15" customHeight="1">
      <c r="A116" s="16"/>
      <c r="B116" s="16"/>
      <c r="C116" s="17"/>
      <c r="D116" s="19"/>
      <c r="E116" s="17"/>
      <c r="F116" s="17"/>
      <c r="G116" s="17"/>
      <c r="H116" s="16"/>
      <c r="I116" s="4"/>
      <c r="J116" s="4"/>
      <c r="K116" s="4"/>
      <c r="L116" s="4"/>
      <c r="M116" s="16"/>
      <c r="N116" s="16"/>
      <c r="O116" s="17"/>
      <c r="P116" s="19"/>
      <c r="Q116" s="17"/>
      <c r="R116" s="17"/>
      <c r="S116" s="17"/>
      <c r="T116" s="16"/>
    </row>
    <row r="117" spans="1:20" ht="15" customHeight="1">
      <c r="A117" s="16"/>
      <c r="B117" s="16"/>
      <c r="C117" s="17"/>
      <c r="D117" s="19"/>
      <c r="E117" s="17"/>
      <c r="F117" s="17"/>
      <c r="G117" s="17"/>
      <c r="H117" s="16"/>
      <c r="I117" s="4"/>
      <c r="J117" s="4"/>
      <c r="K117" s="4"/>
      <c r="L117" s="4"/>
      <c r="M117" s="16"/>
      <c r="N117" s="16"/>
      <c r="O117" s="17"/>
      <c r="P117" s="19"/>
      <c r="Q117" s="17"/>
      <c r="R117" s="17"/>
      <c r="S117" s="17"/>
      <c r="T117" s="16"/>
    </row>
    <row r="118" spans="1:20" ht="15" customHeight="1">
      <c r="A118" s="16"/>
      <c r="B118" s="16"/>
      <c r="C118" s="17"/>
      <c r="D118" s="19"/>
      <c r="E118" s="17"/>
      <c r="F118" s="17"/>
      <c r="G118" s="17"/>
      <c r="H118" s="16"/>
      <c r="I118" s="4"/>
      <c r="J118" s="4"/>
      <c r="K118" s="4"/>
      <c r="L118" s="4"/>
      <c r="M118" s="16"/>
      <c r="N118" s="16"/>
      <c r="O118" s="17"/>
      <c r="P118" s="19"/>
      <c r="Q118" s="17"/>
      <c r="R118" s="17"/>
      <c r="S118" s="17"/>
      <c r="T118" s="16"/>
    </row>
    <row r="119" spans="1:20" ht="15" customHeight="1">
      <c r="A119" s="16"/>
      <c r="B119" s="16"/>
      <c r="C119" s="17"/>
      <c r="D119" s="19"/>
      <c r="E119" s="17"/>
      <c r="F119" s="17"/>
      <c r="G119" s="17"/>
      <c r="H119" s="16"/>
      <c r="I119" s="4"/>
      <c r="J119" s="4"/>
      <c r="K119" s="4"/>
      <c r="L119" s="4"/>
      <c r="M119" s="16"/>
      <c r="N119" s="16"/>
      <c r="O119" s="17"/>
      <c r="P119" s="19"/>
      <c r="Q119" s="17"/>
      <c r="R119" s="17"/>
      <c r="S119" s="17"/>
      <c r="T119" s="16"/>
    </row>
    <row r="120" spans="1:20" ht="15" customHeight="1">
      <c r="A120" s="16"/>
      <c r="B120" s="16"/>
      <c r="C120" s="17"/>
      <c r="D120" s="19"/>
      <c r="E120" s="17"/>
      <c r="F120" s="17"/>
      <c r="G120" s="17"/>
      <c r="H120" s="16"/>
      <c r="I120" s="4"/>
      <c r="J120" s="4"/>
      <c r="K120" s="4"/>
      <c r="L120" s="4"/>
      <c r="M120" s="16"/>
      <c r="N120" s="16"/>
      <c r="O120" s="17"/>
      <c r="P120" s="19"/>
      <c r="Q120" s="17"/>
      <c r="R120" s="17"/>
      <c r="S120" s="17"/>
      <c r="T120" s="16"/>
    </row>
    <row r="121" spans="1:20" ht="15" customHeight="1">
      <c r="A121" s="16"/>
      <c r="B121" s="16"/>
      <c r="C121" s="17"/>
      <c r="D121" s="19"/>
      <c r="E121" s="17"/>
      <c r="F121" s="17"/>
      <c r="G121" s="17"/>
      <c r="H121" s="16"/>
      <c r="I121" s="4"/>
      <c r="J121" s="4"/>
      <c r="K121" s="4"/>
      <c r="L121" s="4"/>
      <c r="M121" s="16"/>
      <c r="N121" s="16"/>
      <c r="O121" s="17"/>
      <c r="P121" s="19"/>
      <c r="Q121" s="17"/>
      <c r="R121" s="17"/>
      <c r="S121" s="17"/>
      <c r="T121" s="16"/>
    </row>
    <row r="122" spans="1:20" ht="15" customHeight="1">
      <c r="A122" s="16"/>
      <c r="B122" s="16"/>
      <c r="C122" s="17"/>
      <c r="D122" s="19"/>
      <c r="E122" s="17"/>
      <c r="F122" s="17"/>
      <c r="G122" s="17"/>
      <c r="H122" s="16"/>
      <c r="I122" s="4"/>
      <c r="J122" s="4"/>
      <c r="K122" s="4"/>
      <c r="L122" s="4"/>
      <c r="M122" s="16"/>
      <c r="N122" s="16"/>
      <c r="O122" s="17"/>
      <c r="P122" s="19"/>
      <c r="Q122" s="17"/>
      <c r="R122" s="17"/>
      <c r="S122" s="17"/>
      <c r="T122" s="16"/>
    </row>
    <row r="123" spans="1:20" ht="15" customHeight="1">
      <c r="A123" s="16"/>
      <c r="B123" s="16"/>
      <c r="C123" s="17"/>
      <c r="D123" s="19"/>
      <c r="E123" s="17"/>
      <c r="F123" s="17"/>
      <c r="G123" s="17"/>
      <c r="H123" s="16"/>
      <c r="I123" s="4"/>
      <c r="J123" s="4"/>
      <c r="K123" s="4"/>
      <c r="L123" s="4"/>
      <c r="M123" s="16"/>
      <c r="N123" s="16"/>
      <c r="O123" s="17"/>
      <c r="P123" s="19"/>
      <c r="Q123" s="17"/>
      <c r="R123" s="17"/>
      <c r="S123" s="17"/>
      <c r="T123" s="16"/>
    </row>
    <row r="124" spans="1:20" ht="15" customHeight="1">
      <c r="A124" s="16"/>
      <c r="B124" s="16"/>
      <c r="C124" s="17"/>
      <c r="D124" s="19"/>
      <c r="E124" s="17"/>
      <c r="F124" s="17"/>
      <c r="G124" s="17"/>
      <c r="H124" s="16"/>
      <c r="I124" s="4"/>
      <c r="J124" s="4"/>
      <c r="K124" s="4"/>
      <c r="L124" s="4"/>
      <c r="M124" s="16"/>
      <c r="N124" s="16"/>
      <c r="O124" s="17"/>
      <c r="P124" s="19"/>
      <c r="Q124" s="17"/>
      <c r="R124" s="17"/>
      <c r="S124" s="17"/>
      <c r="T124" s="16"/>
    </row>
    <row r="125" spans="1:20" ht="15" customHeight="1">
      <c r="A125" s="16"/>
      <c r="B125" s="16"/>
      <c r="C125" s="17"/>
      <c r="D125" s="19"/>
      <c r="E125" s="17"/>
      <c r="F125" s="17"/>
      <c r="G125" s="17"/>
      <c r="H125" s="16"/>
      <c r="I125" s="4"/>
      <c r="J125" s="4"/>
      <c r="K125" s="4"/>
      <c r="L125" s="4"/>
      <c r="M125" s="16"/>
      <c r="N125" s="16"/>
      <c r="O125" s="17"/>
      <c r="P125" s="19"/>
      <c r="Q125" s="17"/>
      <c r="R125" s="17"/>
      <c r="S125" s="17"/>
      <c r="T125" s="16"/>
    </row>
    <row r="126" spans="1:20" ht="15" customHeight="1">
      <c r="A126" s="16"/>
      <c r="B126" s="16"/>
      <c r="C126" s="17"/>
      <c r="D126" s="19"/>
      <c r="E126" s="17"/>
      <c r="F126" s="17"/>
      <c r="G126" s="17"/>
      <c r="H126" s="16"/>
      <c r="I126" s="4"/>
      <c r="J126" s="4"/>
      <c r="K126" s="4"/>
      <c r="L126" s="4"/>
      <c r="M126" s="16"/>
      <c r="N126" s="16"/>
      <c r="O126" s="17"/>
      <c r="P126" s="19"/>
      <c r="Q126" s="17"/>
      <c r="R126" s="17"/>
      <c r="S126" s="17"/>
      <c r="T126" s="16"/>
    </row>
    <row r="127" spans="1:20" ht="15" customHeight="1">
      <c r="A127" s="16"/>
      <c r="B127" s="16"/>
      <c r="C127" s="17"/>
      <c r="D127" s="19"/>
      <c r="E127" s="17"/>
      <c r="F127" s="17"/>
      <c r="G127" s="17"/>
      <c r="H127" s="16"/>
      <c r="I127" s="4"/>
      <c r="J127" s="4"/>
      <c r="K127" s="4"/>
      <c r="L127" s="4"/>
      <c r="M127" s="16"/>
      <c r="N127" s="16"/>
      <c r="O127" s="17"/>
      <c r="P127" s="19"/>
      <c r="Q127" s="17"/>
      <c r="R127" s="17"/>
      <c r="S127" s="17"/>
      <c r="T127" s="16"/>
    </row>
    <row r="128" spans="1:20" ht="15" customHeight="1">
      <c r="A128" s="16"/>
      <c r="B128" s="16"/>
      <c r="C128" s="17"/>
      <c r="D128" s="19"/>
      <c r="E128" s="17"/>
      <c r="F128" s="17"/>
      <c r="G128" s="17"/>
      <c r="H128" s="16"/>
      <c r="I128" s="4"/>
      <c r="J128" s="4"/>
      <c r="K128" s="4"/>
      <c r="L128" s="4"/>
      <c r="M128" s="16"/>
      <c r="N128" s="16"/>
      <c r="O128" s="17"/>
      <c r="P128" s="19"/>
      <c r="Q128" s="17"/>
      <c r="R128" s="17"/>
      <c r="S128" s="17"/>
      <c r="T128" s="16"/>
    </row>
    <row r="129" spans="1:20" ht="15" customHeight="1">
      <c r="A129" s="16"/>
      <c r="B129" s="16"/>
      <c r="C129" s="17"/>
      <c r="D129" s="19"/>
      <c r="E129" s="17"/>
      <c r="F129" s="17"/>
      <c r="G129" s="17"/>
      <c r="H129" s="16"/>
      <c r="I129" s="4"/>
      <c r="J129" s="4"/>
      <c r="K129" s="4"/>
      <c r="L129" s="4"/>
      <c r="M129" s="16"/>
      <c r="N129" s="16"/>
      <c r="O129" s="17"/>
      <c r="P129" s="19"/>
      <c r="Q129" s="17"/>
      <c r="R129" s="17"/>
      <c r="S129" s="17"/>
      <c r="T129" s="16"/>
    </row>
    <row r="130" spans="1:20" ht="15" customHeight="1">
      <c r="A130" s="16"/>
      <c r="B130" s="16"/>
      <c r="C130" s="17"/>
      <c r="D130" s="19"/>
      <c r="E130" s="17"/>
      <c r="F130" s="17"/>
      <c r="G130" s="17"/>
      <c r="H130" s="16"/>
      <c r="I130" s="4"/>
      <c r="J130" s="4"/>
      <c r="K130" s="4"/>
      <c r="L130" s="4"/>
      <c r="M130" s="16"/>
      <c r="N130" s="16"/>
      <c r="O130" s="17"/>
      <c r="P130" s="19"/>
      <c r="Q130" s="17"/>
      <c r="R130" s="17"/>
      <c r="S130" s="17"/>
      <c r="T130" s="16"/>
    </row>
    <row r="131" spans="1:20" ht="15" customHeight="1">
      <c r="A131" s="16"/>
      <c r="B131" s="16"/>
      <c r="C131" s="17"/>
      <c r="D131" s="19"/>
      <c r="E131" s="17"/>
      <c r="F131" s="17"/>
      <c r="G131" s="17"/>
      <c r="H131" s="16"/>
      <c r="I131" s="4"/>
      <c r="J131" s="4"/>
      <c r="K131" s="4"/>
      <c r="L131" s="4"/>
      <c r="M131" s="16"/>
      <c r="N131" s="16"/>
      <c r="O131" s="17"/>
      <c r="P131" s="19"/>
      <c r="Q131" s="17"/>
      <c r="R131" s="17"/>
      <c r="S131" s="17"/>
      <c r="T131" s="16"/>
    </row>
    <row r="132" spans="1:20" ht="15" customHeight="1">
      <c r="A132" s="16"/>
      <c r="B132" s="16"/>
      <c r="C132" s="17"/>
      <c r="D132" s="19"/>
      <c r="E132" s="17"/>
      <c r="F132" s="17"/>
      <c r="G132" s="17"/>
      <c r="H132" s="16"/>
      <c r="I132" s="4"/>
      <c r="J132" s="4"/>
      <c r="K132" s="4"/>
      <c r="L132" s="4"/>
      <c r="M132" s="16"/>
      <c r="N132" s="16"/>
      <c r="O132" s="17"/>
      <c r="P132" s="19"/>
      <c r="Q132" s="17"/>
      <c r="R132" s="17"/>
      <c r="S132" s="17"/>
      <c r="T132" s="16"/>
    </row>
    <row r="133" spans="1:20" ht="15" customHeight="1">
      <c r="A133" s="16"/>
      <c r="B133" s="16"/>
      <c r="C133" s="17"/>
      <c r="D133" s="19"/>
      <c r="E133" s="17"/>
      <c r="F133" s="17"/>
      <c r="G133" s="17"/>
      <c r="H133" s="16"/>
      <c r="I133" s="4"/>
      <c r="J133" s="4"/>
      <c r="K133" s="4"/>
      <c r="L133" s="4"/>
      <c r="M133" s="16"/>
      <c r="N133" s="16"/>
      <c r="O133" s="17"/>
      <c r="P133" s="19"/>
      <c r="Q133" s="17"/>
      <c r="R133" s="17"/>
      <c r="S133" s="17"/>
      <c r="T133" s="16"/>
    </row>
    <row r="134" spans="1:20" ht="15" customHeight="1">
      <c r="A134" s="16"/>
      <c r="B134" s="16"/>
      <c r="C134" s="17"/>
      <c r="D134" s="19"/>
      <c r="E134" s="17"/>
      <c r="F134" s="17"/>
      <c r="G134" s="17"/>
      <c r="H134" s="16"/>
      <c r="I134" s="4"/>
      <c r="J134" s="4"/>
      <c r="K134" s="4"/>
      <c r="L134" s="4"/>
      <c r="M134" s="16"/>
      <c r="N134" s="16"/>
      <c r="O134" s="17"/>
      <c r="P134" s="19"/>
      <c r="Q134" s="17"/>
      <c r="R134" s="17"/>
      <c r="S134" s="17"/>
      <c r="T134" s="16"/>
    </row>
    <row r="135" spans="1:20" ht="15" customHeight="1">
      <c r="A135" s="16"/>
      <c r="B135" s="16"/>
      <c r="C135" s="17"/>
      <c r="D135" s="19"/>
      <c r="E135" s="17"/>
      <c r="F135" s="17"/>
      <c r="G135" s="17"/>
      <c r="H135" s="16"/>
      <c r="I135" s="4"/>
      <c r="J135" s="4"/>
      <c r="K135" s="4"/>
      <c r="L135" s="4"/>
      <c r="M135" s="16"/>
      <c r="N135" s="16"/>
      <c r="O135" s="17"/>
      <c r="P135" s="19"/>
      <c r="Q135" s="17"/>
      <c r="R135" s="17"/>
      <c r="S135" s="17"/>
      <c r="T135" s="16"/>
    </row>
    <row r="136" spans="1:20" ht="15" customHeight="1">
      <c r="A136" s="16"/>
      <c r="B136" s="16"/>
      <c r="C136" s="17"/>
      <c r="D136" s="19"/>
      <c r="E136" s="17"/>
      <c r="F136" s="17"/>
      <c r="G136" s="17"/>
      <c r="H136" s="16"/>
      <c r="I136" s="4"/>
      <c r="J136" s="4"/>
      <c r="K136" s="4"/>
      <c r="L136" s="4"/>
      <c r="M136" s="16"/>
      <c r="N136" s="16"/>
      <c r="O136" s="17"/>
      <c r="P136" s="19"/>
      <c r="Q136" s="17"/>
      <c r="R136" s="17"/>
      <c r="S136" s="17"/>
      <c r="T136" s="16"/>
    </row>
    <row r="137" spans="1:20" ht="15" customHeight="1">
      <c r="A137" s="16"/>
      <c r="B137" s="16"/>
      <c r="C137" s="17"/>
      <c r="D137" s="19"/>
      <c r="E137" s="17"/>
      <c r="F137" s="17"/>
      <c r="G137" s="17"/>
      <c r="H137" s="16"/>
      <c r="I137" s="4"/>
      <c r="J137" s="4"/>
      <c r="K137" s="4"/>
      <c r="L137" s="4"/>
      <c r="M137" s="16"/>
      <c r="N137" s="16"/>
      <c r="O137" s="17"/>
      <c r="P137" s="19"/>
      <c r="Q137" s="17"/>
      <c r="R137" s="17"/>
      <c r="S137" s="17"/>
      <c r="T137" s="16"/>
    </row>
    <row r="138" spans="1:20" ht="15" customHeight="1">
      <c r="A138" s="16"/>
      <c r="B138" s="16"/>
      <c r="C138" s="17"/>
      <c r="D138" s="19"/>
      <c r="E138" s="17"/>
      <c r="F138" s="17"/>
      <c r="G138" s="17"/>
      <c r="H138" s="16"/>
      <c r="I138" s="4"/>
      <c r="J138" s="4"/>
      <c r="K138" s="4"/>
      <c r="L138" s="4"/>
      <c r="M138" s="16"/>
      <c r="N138" s="16"/>
      <c r="O138" s="17"/>
      <c r="P138" s="19"/>
      <c r="Q138" s="17"/>
      <c r="R138" s="17"/>
      <c r="S138" s="17"/>
      <c r="T138" s="16"/>
    </row>
    <row r="139" spans="1:20" ht="15" customHeight="1">
      <c r="A139" s="16"/>
      <c r="B139" s="16"/>
      <c r="C139" s="17"/>
      <c r="D139" s="19"/>
      <c r="E139" s="17"/>
      <c r="F139" s="17"/>
      <c r="G139" s="17"/>
      <c r="H139" s="16"/>
      <c r="I139" s="4"/>
      <c r="J139" s="4"/>
      <c r="K139" s="4"/>
      <c r="L139" s="4"/>
      <c r="M139" s="16"/>
      <c r="N139" s="16"/>
      <c r="O139" s="17"/>
      <c r="P139" s="19"/>
      <c r="Q139" s="17"/>
      <c r="R139" s="17"/>
      <c r="S139" s="17"/>
      <c r="T139" s="16"/>
    </row>
    <row r="140" spans="1:20" ht="15" customHeight="1">
      <c r="A140" s="16"/>
      <c r="B140" s="16"/>
      <c r="C140" s="17"/>
      <c r="D140" s="19"/>
      <c r="E140" s="17"/>
      <c r="F140" s="17"/>
      <c r="G140" s="17"/>
      <c r="H140" s="16"/>
      <c r="I140" s="4"/>
      <c r="J140" s="4"/>
      <c r="K140" s="4"/>
      <c r="L140" s="4"/>
      <c r="M140" s="16"/>
      <c r="N140" s="16"/>
      <c r="O140" s="17"/>
      <c r="P140" s="19"/>
      <c r="Q140" s="17"/>
      <c r="R140" s="17"/>
      <c r="S140" s="17"/>
      <c r="T140" s="16"/>
    </row>
    <row r="141" spans="1:20" ht="15" customHeight="1">
      <c r="A141" s="16"/>
      <c r="B141" s="16"/>
      <c r="C141" s="17"/>
      <c r="D141" s="19"/>
      <c r="E141" s="17"/>
      <c r="F141" s="17"/>
      <c r="G141" s="17"/>
      <c r="H141" s="16"/>
      <c r="I141" s="4"/>
      <c r="J141" s="4"/>
      <c r="K141" s="4"/>
      <c r="L141" s="4"/>
      <c r="M141" s="16"/>
      <c r="N141" s="16"/>
      <c r="O141" s="17"/>
      <c r="P141" s="19"/>
      <c r="Q141" s="17"/>
      <c r="R141" s="17"/>
      <c r="S141" s="17"/>
      <c r="T141" s="16"/>
    </row>
    <row r="142" spans="1:20" ht="15" customHeight="1">
      <c r="A142" s="16"/>
      <c r="B142" s="16"/>
      <c r="C142" s="17"/>
      <c r="D142" s="19"/>
      <c r="E142" s="17"/>
      <c r="F142" s="17"/>
      <c r="G142" s="17"/>
      <c r="H142" s="16"/>
      <c r="I142" s="4"/>
      <c r="J142" s="4"/>
      <c r="K142" s="4"/>
      <c r="L142" s="4"/>
      <c r="M142" s="16"/>
      <c r="N142" s="16"/>
      <c r="O142" s="17"/>
      <c r="P142" s="19"/>
      <c r="Q142" s="17"/>
      <c r="R142" s="17"/>
      <c r="S142" s="17"/>
      <c r="T142" s="16"/>
    </row>
    <row r="143" spans="1:20" ht="15" customHeight="1">
      <c r="A143" s="16"/>
      <c r="B143" s="16"/>
      <c r="C143" s="17"/>
      <c r="D143" s="19"/>
      <c r="E143" s="17"/>
      <c r="F143" s="17"/>
      <c r="G143" s="17"/>
      <c r="H143" s="16"/>
      <c r="I143" s="4"/>
      <c r="J143" s="4"/>
      <c r="K143" s="4"/>
      <c r="L143" s="4"/>
      <c r="M143" s="16"/>
      <c r="N143" s="16"/>
      <c r="O143" s="17"/>
      <c r="P143" s="19"/>
      <c r="Q143" s="17"/>
      <c r="R143" s="17"/>
      <c r="S143" s="17"/>
      <c r="T143" s="16"/>
    </row>
    <row r="144" spans="1:20" ht="15" customHeight="1">
      <c r="A144" s="16"/>
      <c r="B144" s="16"/>
      <c r="C144" s="17"/>
      <c r="D144" s="19"/>
      <c r="E144" s="17"/>
      <c r="F144" s="17"/>
      <c r="G144" s="17"/>
      <c r="H144" s="16"/>
      <c r="I144" s="4"/>
      <c r="J144" s="4"/>
      <c r="K144" s="4"/>
      <c r="L144" s="4"/>
      <c r="M144" s="16"/>
      <c r="N144" s="16"/>
      <c r="O144" s="17"/>
      <c r="P144" s="19"/>
      <c r="Q144" s="17"/>
      <c r="R144" s="17"/>
      <c r="S144" s="17"/>
      <c r="T144" s="16"/>
    </row>
    <row r="145" spans="1:20" ht="15" customHeight="1">
      <c r="A145" s="16"/>
      <c r="B145" s="16"/>
      <c r="C145" s="17"/>
      <c r="D145" s="19"/>
      <c r="E145" s="17"/>
      <c r="F145" s="17"/>
      <c r="G145" s="17"/>
      <c r="H145" s="16"/>
      <c r="I145" s="4"/>
      <c r="J145" s="4"/>
      <c r="K145" s="4"/>
      <c r="L145" s="4"/>
      <c r="M145" s="16"/>
      <c r="N145" s="16"/>
      <c r="O145" s="17"/>
      <c r="P145" s="19"/>
      <c r="Q145" s="17"/>
      <c r="R145" s="17"/>
      <c r="S145" s="17"/>
      <c r="T145" s="16"/>
    </row>
    <row r="146" spans="1:20" ht="15" customHeight="1">
      <c r="A146" s="16"/>
      <c r="B146" s="16"/>
      <c r="C146" s="17"/>
      <c r="D146" s="19"/>
      <c r="E146" s="17"/>
      <c r="F146" s="17"/>
      <c r="G146" s="17"/>
      <c r="H146" s="16"/>
      <c r="I146" s="4"/>
      <c r="J146" s="4"/>
      <c r="K146" s="4"/>
      <c r="L146" s="4"/>
      <c r="M146" s="16"/>
      <c r="N146" s="16"/>
      <c r="O146" s="17"/>
      <c r="P146" s="19"/>
      <c r="Q146" s="17"/>
      <c r="R146" s="17"/>
      <c r="S146" s="17"/>
      <c r="T146" s="16"/>
    </row>
    <row r="147" spans="1:20" ht="15" customHeight="1">
      <c r="A147" s="16"/>
      <c r="B147" s="16"/>
      <c r="C147" s="17"/>
      <c r="D147" s="19"/>
      <c r="E147" s="17"/>
      <c r="F147" s="17"/>
      <c r="G147" s="17"/>
      <c r="H147" s="16"/>
      <c r="I147" s="4"/>
      <c r="J147" s="4"/>
      <c r="K147" s="4"/>
      <c r="L147" s="4"/>
      <c r="M147" s="16"/>
      <c r="N147" s="16"/>
      <c r="O147" s="17"/>
      <c r="P147" s="19"/>
      <c r="Q147" s="17"/>
      <c r="R147" s="17"/>
      <c r="S147" s="17"/>
      <c r="T147" s="16"/>
    </row>
    <row r="148" spans="1:20" ht="15" customHeight="1">
      <c r="A148" s="16"/>
      <c r="B148" s="16"/>
      <c r="C148" s="17"/>
      <c r="D148" s="19"/>
      <c r="E148" s="17"/>
      <c r="F148" s="17"/>
      <c r="G148" s="17"/>
      <c r="H148" s="16"/>
      <c r="I148" s="4"/>
      <c r="J148" s="4"/>
      <c r="K148" s="4"/>
      <c r="L148" s="4"/>
      <c r="M148" s="16"/>
      <c r="N148" s="16"/>
      <c r="O148" s="17"/>
      <c r="P148" s="19"/>
      <c r="Q148" s="17"/>
      <c r="R148" s="17"/>
      <c r="S148" s="17"/>
      <c r="T148" s="16"/>
    </row>
    <row r="149" spans="1:20" ht="15" customHeight="1">
      <c r="A149" s="16"/>
      <c r="B149" s="16"/>
      <c r="C149" s="17"/>
      <c r="D149" s="19"/>
      <c r="E149" s="17"/>
      <c r="F149" s="17"/>
      <c r="G149" s="17"/>
      <c r="H149" s="16"/>
      <c r="I149" s="4"/>
      <c r="J149" s="4"/>
      <c r="K149" s="4"/>
      <c r="L149" s="4"/>
      <c r="M149" s="16"/>
      <c r="N149" s="16"/>
      <c r="O149" s="17"/>
      <c r="P149" s="19"/>
      <c r="Q149" s="17"/>
      <c r="R149" s="17"/>
      <c r="S149" s="17"/>
      <c r="T149" s="16"/>
    </row>
    <row r="150" spans="1:20" ht="15" customHeight="1">
      <c r="A150" s="16"/>
      <c r="B150" s="16"/>
      <c r="C150" s="17"/>
      <c r="D150" s="19"/>
      <c r="E150" s="17"/>
      <c r="F150" s="17"/>
      <c r="G150" s="17"/>
      <c r="H150" s="16"/>
      <c r="I150" s="4"/>
      <c r="J150" s="4"/>
      <c r="K150" s="4"/>
      <c r="L150" s="4"/>
      <c r="M150" s="16"/>
      <c r="N150" s="16"/>
      <c r="O150" s="17"/>
      <c r="P150" s="19"/>
      <c r="Q150" s="17"/>
      <c r="R150" s="17"/>
      <c r="S150" s="17"/>
      <c r="T150" s="16"/>
    </row>
    <row r="151" spans="1:20" ht="15" customHeight="1">
      <c r="A151" s="16"/>
      <c r="B151" s="16"/>
      <c r="C151" s="17"/>
      <c r="D151" s="19"/>
      <c r="E151" s="17"/>
      <c r="F151" s="17"/>
      <c r="G151" s="17"/>
      <c r="H151" s="16"/>
      <c r="I151" s="4"/>
      <c r="J151" s="4"/>
      <c r="K151" s="4"/>
      <c r="L151" s="4"/>
      <c r="M151" s="16"/>
      <c r="N151" s="16"/>
      <c r="O151" s="17"/>
      <c r="P151" s="19"/>
      <c r="Q151" s="17"/>
      <c r="R151" s="17"/>
      <c r="S151" s="17"/>
      <c r="T151" s="16"/>
    </row>
    <row r="152" spans="1:20" ht="15" customHeight="1">
      <c r="A152" s="16"/>
      <c r="B152" s="16"/>
      <c r="C152" s="17"/>
      <c r="D152" s="19"/>
      <c r="E152" s="17"/>
      <c r="F152" s="17"/>
      <c r="G152" s="17"/>
      <c r="H152" s="16"/>
      <c r="I152" s="4"/>
      <c r="J152" s="4"/>
      <c r="K152" s="4"/>
      <c r="L152" s="4"/>
      <c r="M152" s="16"/>
      <c r="N152" s="16"/>
      <c r="O152" s="17"/>
      <c r="P152" s="19"/>
      <c r="Q152" s="17"/>
      <c r="R152" s="17"/>
      <c r="S152" s="17"/>
      <c r="T152" s="16"/>
    </row>
    <row r="153" spans="1:20" ht="15" customHeight="1">
      <c r="A153" s="16"/>
      <c r="B153" s="16"/>
      <c r="C153" s="17"/>
      <c r="D153" s="19"/>
      <c r="E153" s="17"/>
      <c r="F153" s="17"/>
      <c r="G153" s="17"/>
      <c r="H153" s="16"/>
      <c r="I153" s="4"/>
      <c r="J153" s="4"/>
      <c r="K153" s="4"/>
      <c r="L153" s="4"/>
      <c r="M153" s="16"/>
      <c r="N153" s="16"/>
      <c r="O153" s="17"/>
      <c r="P153" s="19"/>
      <c r="Q153" s="17"/>
      <c r="R153" s="17"/>
      <c r="S153" s="17"/>
      <c r="T153" s="16"/>
    </row>
    <row r="154" spans="1:20" ht="15" customHeight="1">
      <c r="A154" s="16"/>
      <c r="B154" s="16"/>
      <c r="C154" s="17"/>
      <c r="D154" s="19"/>
      <c r="E154" s="17"/>
      <c r="F154" s="17"/>
      <c r="G154" s="17"/>
      <c r="H154" s="16"/>
      <c r="I154" s="4"/>
      <c r="J154" s="4"/>
      <c r="K154" s="4"/>
      <c r="L154" s="4"/>
      <c r="M154" s="16"/>
      <c r="N154" s="16"/>
      <c r="O154" s="17"/>
      <c r="P154" s="19"/>
      <c r="Q154" s="17"/>
      <c r="R154" s="17"/>
      <c r="S154" s="17"/>
      <c r="T154" s="16"/>
    </row>
    <row r="155" spans="1:20" ht="15" customHeight="1">
      <c r="A155" s="16"/>
      <c r="B155" s="16"/>
      <c r="C155" s="17"/>
      <c r="D155" s="19"/>
      <c r="E155" s="17"/>
      <c r="F155" s="17"/>
      <c r="G155" s="17"/>
      <c r="H155" s="16"/>
      <c r="I155" s="4"/>
      <c r="J155" s="4"/>
      <c r="K155" s="4"/>
      <c r="L155" s="4"/>
      <c r="M155" s="16"/>
      <c r="N155" s="16"/>
      <c r="O155" s="17"/>
      <c r="P155" s="19"/>
      <c r="Q155" s="17"/>
      <c r="R155" s="17"/>
      <c r="S155" s="17"/>
      <c r="T155" s="16"/>
    </row>
    <row r="156" spans="1:20" ht="15" customHeight="1">
      <c r="A156" s="16"/>
      <c r="B156" s="16"/>
      <c r="C156" s="17"/>
      <c r="D156" s="19"/>
      <c r="E156" s="17"/>
      <c r="F156" s="17"/>
      <c r="G156" s="17"/>
      <c r="H156" s="16"/>
      <c r="I156" s="4"/>
      <c r="J156" s="4"/>
      <c r="K156" s="4"/>
      <c r="L156" s="4"/>
      <c r="M156" s="16"/>
      <c r="N156" s="16"/>
      <c r="O156" s="17"/>
      <c r="P156" s="19"/>
      <c r="Q156" s="17"/>
      <c r="R156" s="17"/>
      <c r="S156" s="17"/>
      <c r="T156" s="16"/>
    </row>
    <row r="157" spans="1:20" ht="15" customHeight="1">
      <c r="A157" s="16"/>
      <c r="B157" s="16"/>
      <c r="C157" s="17"/>
      <c r="D157" s="19"/>
      <c r="E157" s="17"/>
      <c r="F157" s="17"/>
      <c r="G157" s="17"/>
      <c r="H157" s="16"/>
      <c r="I157" s="4"/>
      <c r="J157" s="4"/>
      <c r="K157" s="4"/>
      <c r="L157" s="4"/>
      <c r="M157" s="16"/>
      <c r="N157" s="16"/>
      <c r="O157" s="17"/>
      <c r="P157" s="19"/>
      <c r="Q157" s="17"/>
      <c r="R157" s="17"/>
      <c r="S157" s="17"/>
      <c r="T157" s="16"/>
    </row>
    <row r="158" spans="1:20" ht="15" customHeight="1">
      <c r="A158" s="16"/>
      <c r="B158" s="16"/>
      <c r="C158" s="17"/>
      <c r="D158" s="19"/>
      <c r="E158" s="17"/>
      <c r="F158" s="17"/>
      <c r="G158" s="17"/>
      <c r="H158" s="16"/>
      <c r="I158" s="4"/>
      <c r="J158" s="4"/>
      <c r="K158" s="4"/>
      <c r="L158" s="4"/>
      <c r="M158" s="16"/>
      <c r="N158" s="16"/>
      <c r="O158" s="17"/>
      <c r="P158" s="19"/>
      <c r="Q158" s="17"/>
      <c r="R158" s="17"/>
      <c r="S158" s="17"/>
      <c r="T158" s="16"/>
    </row>
    <row r="159" spans="1:20" ht="15" customHeight="1">
      <c r="A159" s="16"/>
      <c r="B159" s="16"/>
      <c r="C159" s="17"/>
      <c r="D159" s="19"/>
      <c r="E159" s="17"/>
      <c r="F159" s="17"/>
      <c r="G159" s="17"/>
      <c r="H159" s="16"/>
      <c r="I159" s="4"/>
      <c r="J159" s="4"/>
      <c r="K159" s="4"/>
      <c r="L159" s="4"/>
      <c r="M159" s="16"/>
      <c r="N159" s="16"/>
      <c r="O159" s="17"/>
      <c r="P159" s="19"/>
      <c r="Q159" s="17"/>
      <c r="R159" s="17"/>
      <c r="S159" s="17"/>
      <c r="T159" s="16"/>
    </row>
    <row r="160" spans="1:20" ht="15" customHeight="1">
      <c r="A160" s="16"/>
      <c r="B160" s="16"/>
      <c r="C160" s="17"/>
      <c r="D160" s="19"/>
      <c r="E160" s="17"/>
      <c r="F160" s="17"/>
      <c r="G160" s="17"/>
      <c r="H160" s="16"/>
      <c r="I160" s="4"/>
      <c r="J160" s="4"/>
      <c r="K160" s="4"/>
      <c r="L160" s="4"/>
      <c r="M160" s="16"/>
      <c r="N160" s="16"/>
      <c r="O160" s="17"/>
      <c r="P160" s="19"/>
      <c r="Q160" s="17"/>
      <c r="R160" s="17"/>
      <c r="S160" s="17"/>
      <c r="T160" s="16"/>
    </row>
    <row r="161" spans="1:20" ht="15" customHeight="1">
      <c r="A161" s="16"/>
      <c r="B161" s="16"/>
      <c r="C161" s="17"/>
      <c r="D161" s="19"/>
      <c r="E161" s="17"/>
      <c r="F161" s="17"/>
      <c r="G161" s="17"/>
      <c r="H161" s="16"/>
      <c r="I161" s="4"/>
      <c r="J161" s="4"/>
      <c r="K161" s="4"/>
      <c r="L161" s="4"/>
      <c r="M161" s="16"/>
      <c r="N161" s="16"/>
      <c r="O161" s="17"/>
      <c r="P161" s="19"/>
      <c r="Q161" s="17"/>
      <c r="R161" s="17"/>
      <c r="S161" s="17"/>
      <c r="T161" s="16"/>
    </row>
    <row r="162" spans="1:20" ht="15" customHeight="1">
      <c r="A162" s="16"/>
      <c r="B162" s="16"/>
      <c r="C162" s="17"/>
      <c r="D162" s="19"/>
      <c r="E162" s="17"/>
      <c r="F162" s="17"/>
      <c r="G162" s="17"/>
      <c r="H162" s="16"/>
      <c r="I162" s="4"/>
      <c r="J162" s="4"/>
      <c r="K162" s="4"/>
      <c r="L162" s="4"/>
      <c r="M162" s="16"/>
      <c r="N162" s="16"/>
      <c r="O162" s="17"/>
      <c r="P162" s="19"/>
      <c r="Q162" s="17"/>
      <c r="R162" s="17"/>
      <c r="S162" s="17"/>
      <c r="T162" s="16"/>
    </row>
    <row r="163" spans="1:20" ht="15" customHeight="1">
      <c r="A163" s="16"/>
      <c r="B163" s="16"/>
      <c r="C163" s="17"/>
      <c r="D163" s="19"/>
      <c r="E163" s="17"/>
      <c r="F163" s="17"/>
      <c r="G163" s="17"/>
      <c r="H163" s="16"/>
      <c r="I163" s="4"/>
      <c r="J163" s="4"/>
      <c r="K163" s="4"/>
      <c r="L163" s="4"/>
      <c r="M163" s="16"/>
      <c r="N163" s="16"/>
      <c r="O163" s="17"/>
      <c r="P163" s="19"/>
      <c r="Q163" s="17"/>
      <c r="R163" s="17"/>
      <c r="S163" s="17"/>
      <c r="T163" s="16"/>
    </row>
    <row r="164" spans="1:20" ht="15" customHeight="1">
      <c r="A164" s="16"/>
      <c r="B164" s="16"/>
      <c r="C164" s="17"/>
      <c r="D164" s="19"/>
      <c r="E164" s="17"/>
      <c r="F164" s="17"/>
      <c r="G164" s="17"/>
      <c r="H164" s="16"/>
      <c r="I164" s="4"/>
      <c r="J164" s="4"/>
      <c r="K164" s="4"/>
      <c r="L164" s="4"/>
      <c r="M164" s="16"/>
      <c r="N164" s="16"/>
      <c r="O164" s="17"/>
      <c r="P164" s="19"/>
      <c r="Q164" s="17"/>
      <c r="R164" s="17"/>
      <c r="S164" s="17"/>
      <c r="T164" s="16"/>
    </row>
    <row r="165" spans="1:20" ht="15" customHeight="1">
      <c r="A165" s="16"/>
      <c r="B165" s="16"/>
      <c r="C165" s="17"/>
      <c r="D165" s="19"/>
      <c r="E165" s="17"/>
      <c r="F165" s="17"/>
      <c r="G165" s="17"/>
      <c r="H165" s="16"/>
      <c r="I165" s="4"/>
      <c r="J165" s="4"/>
      <c r="K165" s="4"/>
      <c r="L165" s="4"/>
      <c r="M165" s="16"/>
      <c r="N165" s="16"/>
      <c r="O165" s="17"/>
      <c r="P165" s="19"/>
      <c r="Q165" s="17"/>
      <c r="R165" s="17"/>
      <c r="S165" s="17"/>
      <c r="T165" s="16"/>
    </row>
    <row r="166" spans="1:20" ht="15" customHeight="1">
      <c r="A166" s="16"/>
      <c r="B166" s="16"/>
      <c r="C166" s="17"/>
      <c r="D166" s="19"/>
      <c r="E166" s="17"/>
      <c r="F166" s="17"/>
      <c r="G166" s="17"/>
      <c r="H166" s="16"/>
      <c r="I166" s="4"/>
      <c r="J166" s="4"/>
      <c r="K166" s="4"/>
      <c r="L166" s="4"/>
      <c r="M166" s="16"/>
      <c r="N166" s="16"/>
      <c r="O166" s="17"/>
      <c r="P166" s="19"/>
      <c r="Q166" s="17"/>
      <c r="R166" s="17"/>
      <c r="S166" s="17"/>
      <c r="T166" s="16"/>
    </row>
    <row r="167" spans="1:20" ht="15" customHeight="1">
      <c r="A167" s="16"/>
      <c r="B167" s="16"/>
      <c r="C167" s="17"/>
      <c r="D167" s="19"/>
      <c r="E167" s="17"/>
      <c r="F167" s="17"/>
      <c r="G167" s="17"/>
      <c r="H167" s="16"/>
      <c r="I167" s="4"/>
      <c r="J167" s="4"/>
      <c r="K167" s="4"/>
      <c r="L167" s="4"/>
      <c r="M167" s="16"/>
      <c r="N167" s="16"/>
      <c r="O167" s="17"/>
      <c r="P167" s="19"/>
      <c r="Q167" s="17"/>
      <c r="R167" s="17"/>
      <c r="S167" s="17"/>
      <c r="T167" s="16"/>
    </row>
    <row r="168" spans="1:20" ht="15" customHeight="1">
      <c r="A168" s="16"/>
      <c r="B168" s="16"/>
      <c r="C168" s="17"/>
      <c r="D168" s="19"/>
      <c r="E168" s="17"/>
      <c r="F168" s="17"/>
      <c r="G168" s="17"/>
      <c r="H168" s="16"/>
      <c r="I168" s="4"/>
      <c r="J168" s="4"/>
      <c r="K168" s="4"/>
      <c r="L168" s="4"/>
      <c r="M168" s="16"/>
      <c r="N168" s="16"/>
      <c r="O168" s="17"/>
      <c r="P168" s="19"/>
      <c r="Q168" s="17"/>
      <c r="R168" s="17"/>
      <c r="S168" s="17"/>
      <c r="T168" s="16"/>
    </row>
    <row r="169" spans="1:20" ht="15" customHeight="1">
      <c r="A169" s="16"/>
      <c r="B169" s="16"/>
      <c r="C169" s="17"/>
      <c r="D169" s="19"/>
      <c r="E169" s="17"/>
      <c r="F169" s="17"/>
      <c r="G169" s="17"/>
      <c r="H169" s="16"/>
      <c r="I169" s="4"/>
      <c r="J169" s="4"/>
      <c r="K169" s="4"/>
      <c r="L169" s="4"/>
      <c r="M169" s="16"/>
      <c r="N169" s="16"/>
      <c r="O169" s="17"/>
      <c r="P169" s="19"/>
      <c r="Q169" s="17"/>
      <c r="R169" s="17"/>
      <c r="S169" s="17"/>
      <c r="T169" s="16"/>
    </row>
    <row r="170" spans="1:20" ht="15" customHeight="1">
      <c r="A170" s="16"/>
      <c r="B170" s="16"/>
      <c r="C170" s="17"/>
      <c r="D170" s="19"/>
      <c r="E170" s="17"/>
      <c r="F170" s="17"/>
      <c r="G170" s="17"/>
      <c r="H170" s="16"/>
      <c r="I170" s="4"/>
      <c r="J170" s="4"/>
      <c r="K170" s="4"/>
      <c r="L170" s="4"/>
      <c r="M170" s="16"/>
      <c r="N170" s="16"/>
      <c r="O170" s="17"/>
      <c r="P170" s="19"/>
      <c r="Q170" s="17"/>
      <c r="R170" s="17"/>
      <c r="S170" s="17"/>
      <c r="T170" s="16"/>
    </row>
    <row r="171" spans="1:20" ht="15" customHeight="1">
      <c r="A171" s="16"/>
      <c r="B171" s="16"/>
      <c r="C171" s="17"/>
      <c r="D171" s="19"/>
      <c r="E171" s="17"/>
      <c r="F171" s="17"/>
      <c r="G171" s="17"/>
      <c r="H171" s="16"/>
      <c r="I171" s="4"/>
      <c r="J171" s="4"/>
      <c r="K171" s="4"/>
      <c r="L171" s="4"/>
      <c r="M171" s="16"/>
      <c r="N171" s="16"/>
      <c r="O171" s="17"/>
      <c r="P171" s="19"/>
      <c r="Q171" s="17"/>
      <c r="R171" s="17"/>
      <c r="S171" s="17"/>
      <c r="T171" s="16"/>
    </row>
    <row r="172" spans="1:20" ht="15" customHeight="1">
      <c r="A172" s="16"/>
      <c r="B172" s="16"/>
      <c r="C172" s="17"/>
      <c r="D172" s="19"/>
      <c r="E172" s="17"/>
      <c r="F172" s="17"/>
      <c r="G172" s="17"/>
      <c r="H172" s="16"/>
      <c r="I172" s="4"/>
      <c r="J172" s="4"/>
      <c r="K172" s="4"/>
      <c r="L172" s="4"/>
      <c r="M172" s="16"/>
      <c r="N172" s="16"/>
      <c r="O172" s="17"/>
      <c r="P172" s="19"/>
      <c r="Q172" s="17"/>
      <c r="R172" s="17"/>
      <c r="S172" s="17"/>
      <c r="T172" s="16"/>
    </row>
    <row r="173" spans="1:20" ht="15" customHeight="1">
      <c r="A173" s="16"/>
      <c r="B173" s="16"/>
      <c r="C173" s="17"/>
      <c r="D173" s="19"/>
      <c r="E173" s="17"/>
      <c r="F173" s="17"/>
      <c r="G173" s="17"/>
      <c r="H173" s="16"/>
      <c r="I173" s="4"/>
      <c r="J173" s="4"/>
      <c r="K173" s="4"/>
      <c r="L173" s="4"/>
      <c r="M173" s="16"/>
      <c r="N173" s="16"/>
      <c r="O173" s="17"/>
      <c r="P173" s="19"/>
      <c r="Q173" s="17"/>
      <c r="R173" s="17"/>
      <c r="S173" s="17"/>
      <c r="T173" s="16"/>
    </row>
    <row r="174" spans="1:20" ht="15" customHeight="1">
      <c r="A174" s="16"/>
      <c r="B174" s="16"/>
      <c r="C174" s="17"/>
      <c r="D174" s="19"/>
      <c r="E174" s="17"/>
      <c r="F174" s="17"/>
      <c r="G174" s="17"/>
      <c r="H174" s="16"/>
      <c r="I174" s="4"/>
      <c r="J174" s="4"/>
      <c r="K174" s="4"/>
      <c r="L174" s="4"/>
      <c r="M174" s="16"/>
      <c r="N174" s="16"/>
      <c r="O174" s="17"/>
      <c r="P174" s="19"/>
      <c r="Q174" s="17"/>
      <c r="R174" s="17"/>
      <c r="S174" s="17"/>
      <c r="T174" s="16"/>
    </row>
    <row r="175" spans="1:20" ht="15" customHeight="1">
      <c r="A175" s="16"/>
      <c r="B175" s="16"/>
      <c r="C175" s="17"/>
      <c r="D175" s="19"/>
      <c r="E175" s="17"/>
      <c r="F175" s="17"/>
      <c r="G175" s="17"/>
      <c r="H175" s="16"/>
      <c r="I175" s="4"/>
      <c r="J175" s="4"/>
      <c r="K175" s="4"/>
      <c r="L175" s="4"/>
      <c r="M175" s="16"/>
      <c r="N175" s="16"/>
      <c r="O175" s="17"/>
      <c r="P175" s="19"/>
      <c r="Q175" s="17"/>
      <c r="R175" s="17"/>
      <c r="S175" s="17"/>
      <c r="T175" s="16"/>
    </row>
    <row r="176" spans="1:20" ht="15" customHeight="1">
      <c r="A176" s="16"/>
      <c r="B176" s="16"/>
      <c r="C176" s="17"/>
      <c r="D176" s="19"/>
      <c r="E176" s="17"/>
      <c r="F176" s="17"/>
      <c r="G176" s="17"/>
      <c r="H176" s="16"/>
      <c r="I176" s="4"/>
      <c r="J176" s="4"/>
      <c r="K176" s="4"/>
      <c r="L176" s="4"/>
      <c r="M176" s="16"/>
      <c r="N176" s="16"/>
      <c r="O176" s="17"/>
      <c r="P176" s="19"/>
      <c r="Q176" s="17"/>
      <c r="R176" s="17"/>
      <c r="S176" s="17"/>
      <c r="T176" s="16"/>
    </row>
    <row r="177" spans="1:20" ht="15" customHeight="1">
      <c r="A177" s="16"/>
      <c r="B177" s="16"/>
      <c r="C177" s="17"/>
      <c r="D177" s="19"/>
      <c r="E177" s="17"/>
      <c r="F177" s="17"/>
      <c r="G177" s="17"/>
      <c r="H177" s="16"/>
      <c r="I177" s="4"/>
      <c r="J177" s="4"/>
      <c r="K177" s="4"/>
      <c r="L177" s="4"/>
      <c r="M177" s="16"/>
      <c r="N177" s="16"/>
      <c r="O177" s="17"/>
      <c r="P177" s="19"/>
      <c r="Q177" s="17"/>
      <c r="R177" s="17"/>
      <c r="S177" s="17"/>
      <c r="T177" s="16"/>
    </row>
    <row r="178" spans="1:20" ht="15" customHeight="1">
      <c r="A178" s="16"/>
      <c r="B178" s="16"/>
      <c r="C178" s="17"/>
      <c r="D178" s="19"/>
      <c r="E178" s="17"/>
      <c r="F178" s="17"/>
      <c r="G178" s="17"/>
      <c r="H178" s="16"/>
      <c r="I178" s="4"/>
      <c r="J178" s="4"/>
      <c r="K178" s="4"/>
      <c r="L178" s="4"/>
      <c r="M178" s="16"/>
      <c r="N178" s="16"/>
      <c r="O178" s="17"/>
      <c r="P178" s="19"/>
      <c r="Q178" s="17"/>
      <c r="R178" s="17"/>
      <c r="S178" s="17"/>
      <c r="T178" s="16"/>
    </row>
    <row r="179" spans="1:20" ht="15" customHeight="1">
      <c r="A179" s="16"/>
      <c r="B179" s="16"/>
      <c r="C179" s="17"/>
      <c r="D179" s="19"/>
      <c r="E179" s="17"/>
      <c r="F179" s="17"/>
      <c r="G179" s="17"/>
      <c r="H179" s="16"/>
      <c r="I179" s="4"/>
      <c r="J179" s="4"/>
      <c r="K179" s="4"/>
      <c r="L179" s="4"/>
      <c r="M179" s="16"/>
      <c r="N179" s="16"/>
      <c r="O179" s="17"/>
      <c r="P179" s="19"/>
      <c r="Q179" s="17"/>
      <c r="R179" s="17"/>
      <c r="S179" s="17"/>
      <c r="T179" s="16"/>
    </row>
    <row r="180" spans="1:20" ht="15" customHeight="1">
      <c r="A180" s="16"/>
      <c r="B180" s="16"/>
      <c r="C180" s="17"/>
      <c r="D180" s="19"/>
      <c r="E180" s="17"/>
      <c r="F180" s="17"/>
      <c r="G180" s="17"/>
      <c r="H180" s="16"/>
      <c r="I180" s="4"/>
      <c r="J180" s="4"/>
      <c r="K180" s="4"/>
      <c r="L180" s="4"/>
      <c r="M180" s="16"/>
      <c r="N180" s="16"/>
      <c r="O180" s="17"/>
      <c r="P180" s="19"/>
      <c r="Q180" s="17"/>
      <c r="R180" s="17"/>
      <c r="S180" s="17"/>
      <c r="T180" s="16"/>
    </row>
    <row r="181" spans="1:20" ht="15" customHeight="1">
      <c r="A181" s="16"/>
      <c r="B181" s="16"/>
      <c r="C181" s="17"/>
      <c r="D181" s="19"/>
      <c r="E181" s="17"/>
      <c r="F181" s="17"/>
      <c r="G181" s="17"/>
      <c r="H181" s="16"/>
      <c r="I181" s="4"/>
      <c r="J181" s="4"/>
      <c r="K181" s="4"/>
      <c r="L181" s="4"/>
      <c r="M181" s="16"/>
      <c r="N181" s="16"/>
      <c r="O181" s="17"/>
      <c r="P181" s="19"/>
      <c r="Q181" s="17"/>
      <c r="R181" s="17"/>
      <c r="S181" s="17"/>
      <c r="T181" s="16"/>
    </row>
    <row r="182" spans="1:20" ht="15" customHeight="1">
      <c r="A182" s="16"/>
      <c r="B182" s="16"/>
      <c r="C182" s="17"/>
      <c r="D182" s="19"/>
      <c r="E182" s="17"/>
      <c r="F182" s="17"/>
      <c r="G182" s="17"/>
      <c r="H182" s="16"/>
      <c r="I182" s="4"/>
      <c r="J182" s="4"/>
      <c r="K182" s="4"/>
      <c r="L182" s="4"/>
      <c r="M182" s="16"/>
      <c r="N182" s="16"/>
      <c r="O182" s="17"/>
      <c r="P182" s="19"/>
      <c r="Q182" s="17"/>
      <c r="R182" s="17"/>
      <c r="S182" s="17"/>
      <c r="T182" s="16"/>
    </row>
    <row r="183" spans="1:20" ht="15" customHeight="1">
      <c r="A183" s="16"/>
      <c r="B183" s="16"/>
      <c r="C183" s="17"/>
      <c r="D183" s="19"/>
      <c r="E183" s="17"/>
      <c r="F183" s="17"/>
      <c r="G183" s="17"/>
      <c r="H183" s="16"/>
      <c r="I183" s="4"/>
      <c r="J183" s="4"/>
      <c r="K183" s="4"/>
      <c r="L183" s="4"/>
      <c r="M183" s="16"/>
      <c r="N183" s="16"/>
      <c r="O183" s="17"/>
      <c r="P183" s="19"/>
      <c r="Q183" s="17"/>
      <c r="R183" s="17"/>
      <c r="S183" s="17"/>
      <c r="T183" s="16"/>
    </row>
    <row r="184" spans="1:20" ht="15" customHeight="1">
      <c r="A184" s="16"/>
      <c r="B184" s="16"/>
      <c r="C184" s="17"/>
      <c r="D184" s="19"/>
      <c r="E184" s="17"/>
      <c r="F184" s="17"/>
      <c r="G184" s="17"/>
      <c r="H184" s="16"/>
      <c r="I184" s="4"/>
      <c r="J184" s="4"/>
      <c r="K184" s="4"/>
      <c r="L184" s="4"/>
      <c r="M184" s="16"/>
      <c r="N184" s="16"/>
      <c r="O184" s="17"/>
      <c r="P184" s="19"/>
      <c r="Q184" s="17"/>
      <c r="R184" s="17"/>
      <c r="S184" s="17"/>
      <c r="T184" s="16"/>
    </row>
    <row r="185" spans="1:20" ht="15" customHeight="1">
      <c r="A185" s="16"/>
      <c r="B185" s="16"/>
      <c r="C185" s="17"/>
      <c r="D185" s="19"/>
      <c r="E185" s="17"/>
      <c r="F185" s="17"/>
      <c r="G185" s="17"/>
      <c r="H185" s="16"/>
      <c r="I185" s="4"/>
      <c r="J185" s="4"/>
      <c r="K185" s="4"/>
      <c r="L185" s="4"/>
      <c r="M185" s="16"/>
      <c r="N185" s="16"/>
      <c r="O185" s="17"/>
      <c r="P185" s="19"/>
      <c r="Q185" s="17"/>
      <c r="R185" s="17"/>
      <c r="S185" s="17"/>
      <c r="T185" s="16"/>
    </row>
    <row r="186" spans="1:20" ht="15" customHeight="1">
      <c r="A186" s="16"/>
      <c r="B186" s="16"/>
      <c r="C186" s="17"/>
      <c r="D186" s="19"/>
      <c r="E186" s="17"/>
      <c r="F186" s="17"/>
      <c r="G186" s="17"/>
      <c r="H186" s="16"/>
      <c r="I186" s="4"/>
      <c r="J186" s="4"/>
      <c r="K186" s="4"/>
      <c r="L186" s="4"/>
      <c r="M186" s="16"/>
      <c r="N186" s="16"/>
      <c r="O186" s="17"/>
      <c r="P186" s="19"/>
      <c r="Q186" s="17"/>
      <c r="R186" s="17"/>
      <c r="S186" s="17"/>
      <c r="T186" s="16"/>
    </row>
    <row r="187" spans="1:20" ht="15" customHeight="1">
      <c r="A187" s="16"/>
      <c r="B187" s="16"/>
      <c r="C187" s="17"/>
      <c r="D187" s="19"/>
      <c r="E187" s="17"/>
      <c r="F187" s="17"/>
      <c r="G187" s="17"/>
      <c r="H187" s="16"/>
      <c r="I187" s="4"/>
      <c r="J187" s="4"/>
      <c r="K187" s="4"/>
      <c r="L187" s="4"/>
      <c r="M187" s="16"/>
      <c r="N187" s="16"/>
      <c r="O187" s="17"/>
      <c r="P187" s="19"/>
      <c r="Q187" s="17"/>
      <c r="R187" s="17"/>
      <c r="S187" s="17"/>
      <c r="T187" s="16"/>
    </row>
    <row r="188" spans="1:20" ht="15" customHeight="1">
      <c r="A188" s="16"/>
      <c r="B188" s="16"/>
      <c r="C188" s="17"/>
      <c r="D188" s="19"/>
      <c r="E188" s="17"/>
      <c r="F188" s="17"/>
      <c r="G188" s="17"/>
      <c r="H188" s="16"/>
      <c r="I188" s="4"/>
      <c r="J188" s="4"/>
      <c r="K188" s="4"/>
      <c r="L188" s="4"/>
      <c r="M188" s="16"/>
      <c r="N188" s="16"/>
      <c r="O188" s="17"/>
      <c r="P188" s="19"/>
      <c r="Q188" s="17"/>
      <c r="R188" s="17"/>
      <c r="S188" s="17"/>
      <c r="T188" s="16"/>
    </row>
    <row r="189" spans="1:20" ht="15" customHeight="1">
      <c r="A189" s="16"/>
      <c r="B189" s="16"/>
      <c r="C189" s="17"/>
      <c r="D189" s="19"/>
      <c r="E189" s="17"/>
      <c r="F189" s="17"/>
      <c r="G189" s="17"/>
      <c r="H189" s="16"/>
      <c r="I189" s="4"/>
      <c r="J189" s="4"/>
      <c r="K189" s="4"/>
      <c r="L189" s="4"/>
      <c r="M189" s="16"/>
      <c r="N189" s="16"/>
      <c r="O189" s="17"/>
      <c r="P189" s="19"/>
      <c r="Q189" s="17"/>
      <c r="R189" s="17"/>
      <c r="S189" s="17"/>
      <c r="T189" s="16"/>
    </row>
    <row r="190" spans="1:20" ht="15" customHeight="1">
      <c r="A190" s="16"/>
      <c r="B190" s="16"/>
      <c r="C190" s="17"/>
      <c r="D190" s="19"/>
      <c r="E190" s="17"/>
      <c r="F190" s="17"/>
      <c r="G190" s="17"/>
      <c r="H190" s="16"/>
      <c r="I190" s="4"/>
      <c r="J190" s="4"/>
      <c r="K190" s="4"/>
      <c r="L190" s="4"/>
      <c r="M190" s="16"/>
      <c r="N190" s="16"/>
      <c r="O190" s="17"/>
      <c r="P190" s="19"/>
      <c r="Q190" s="17"/>
      <c r="R190" s="17"/>
      <c r="S190" s="17"/>
      <c r="T190" s="16"/>
    </row>
    <row r="191" spans="1:20" ht="15" customHeight="1">
      <c r="A191" s="16"/>
      <c r="B191" s="16"/>
      <c r="C191" s="17"/>
      <c r="D191" s="19"/>
      <c r="E191" s="17"/>
      <c r="F191" s="17"/>
      <c r="G191" s="17"/>
      <c r="H191" s="16"/>
      <c r="I191" s="4"/>
      <c r="J191" s="4"/>
      <c r="K191" s="4"/>
      <c r="L191" s="4"/>
      <c r="M191" s="16"/>
      <c r="N191" s="16"/>
      <c r="O191" s="17"/>
      <c r="P191" s="19"/>
      <c r="Q191" s="17"/>
      <c r="R191" s="17"/>
      <c r="S191" s="17"/>
      <c r="T191" s="16"/>
    </row>
    <row r="192" spans="1:20" ht="15" customHeight="1">
      <c r="A192" s="16"/>
      <c r="B192" s="16"/>
      <c r="C192" s="17"/>
      <c r="D192" s="19"/>
      <c r="E192" s="17"/>
      <c r="F192" s="17"/>
      <c r="G192" s="17"/>
      <c r="H192" s="16"/>
      <c r="I192" s="4"/>
      <c r="J192" s="4"/>
      <c r="K192" s="4"/>
      <c r="L192" s="4"/>
      <c r="M192" s="16"/>
      <c r="N192" s="16"/>
      <c r="O192" s="17"/>
      <c r="P192" s="19"/>
      <c r="Q192" s="17"/>
      <c r="R192" s="17"/>
      <c r="S192" s="17"/>
      <c r="T192" s="16"/>
    </row>
    <row r="193" spans="1:20" ht="15" customHeight="1">
      <c r="A193" s="16"/>
      <c r="B193" s="16"/>
      <c r="C193" s="17"/>
      <c r="D193" s="19"/>
      <c r="E193" s="17"/>
      <c r="F193" s="17"/>
      <c r="G193" s="17"/>
      <c r="H193" s="16"/>
      <c r="I193" s="4"/>
      <c r="J193" s="4"/>
      <c r="K193" s="4"/>
      <c r="L193" s="4"/>
      <c r="M193" s="16"/>
      <c r="N193" s="16"/>
      <c r="O193" s="17"/>
      <c r="P193" s="19"/>
      <c r="Q193" s="17"/>
      <c r="R193" s="17"/>
      <c r="S193" s="17"/>
      <c r="T193" s="16"/>
    </row>
    <row r="194" spans="1:20" ht="15" customHeight="1">
      <c r="A194" s="16"/>
      <c r="B194" s="16"/>
      <c r="C194" s="17"/>
      <c r="D194" s="19"/>
      <c r="E194" s="17"/>
      <c r="F194" s="17"/>
      <c r="G194" s="17"/>
      <c r="H194" s="16"/>
      <c r="I194" s="4"/>
      <c r="J194" s="4"/>
      <c r="K194" s="4"/>
      <c r="L194" s="4"/>
      <c r="M194" s="16"/>
      <c r="N194" s="16"/>
      <c r="O194" s="17"/>
      <c r="P194" s="19"/>
      <c r="Q194" s="17"/>
      <c r="R194" s="17"/>
      <c r="S194" s="17"/>
      <c r="T194" s="16"/>
    </row>
    <row r="195" spans="1:20" ht="15" customHeight="1">
      <c r="A195" s="16"/>
      <c r="B195" s="16"/>
      <c r="C195" s="17"/>
      <c r="D195" s="19"/>
      <c r="E195" s="17"/>
      <c r="F195" s="17"/>
      <c r="G195" s="17"/>
      <c r="H195" s="16"/>
      <c r="I195" s="4"/>
      <c r="J195" s="4"/>
      <c r="K195" s="4"/>
      <c r="L195" s="4"/>
      <c r="M195" s="16"/>
      <c r="N195" s="16"/>
      <c r="O195" s="17"/>
      <c r="P195" s="19"/>
      <c r="Q195" s="17"/>
      <c r="R195" s="17"/>
      <c r="S195" s="17"/>
      <c r="T195" s="16"/>
    </row>
    <row r="196" spans="1:20" ht="15" customHeight="1">
      <c r="A196" s="16"/>
      <c r="B196" s="16"/>
      <c r="C196" s="17"/>
      <c r="D196" s="19"/>
      <c r="E196" s="17"/>
      <c r="F196" s="17"/>
      <c r="G196" s="17"/>
      <c r="H196" s="16"/>
      <c r="I196" s="4"/>
      <c r="J196" s="4"/>
      <c r="K196" s="4"/>
      <c r="L196" s="4"/>
      <c r="M196" s="16"/>
      <c r="N196" s="16"/>
      <c r="O196" s="17"/>
      <c r="P196" s="19"/>
      <c r="Q196" s="17"/>
      <c r="R196" s="17"/>
      <c r="S196" s="17"/>
      <c r="T196" s="16"/>
    </row>
    <row r="197" spans="1:20" ht="15" customHeight="1">
      <c r="A197" s="16"/>
      <c r="B197" s="16"/>
      <c r="C197" s="17"/>
      <c r="D197" s="19"/>
      <c r="E197" s="17"/>
      <c r="F197" s="17"/>
      <c r="G197" s="17"/>
      <c r="H197" s="16"/>
      <c r="I197" s="4"/>
      <c r="J197" s="4"/>
      <c r="K197" s="4"/>
      <c r="L197" s="4"/>
      <c r="M197" s="16"/>
      <c r="N197" s="16"/>
      <c r="O197" s="17"/>
      <c r="P197" s="19"/>
      <c r="Q197" s="17"/>
      <c r="R197" s="17"/>
      <c r="S197" s="17"/>
      <c r="T197" s="16"/>
    </row>
    <row r="198" spans="1:20" ht="15" customHeight="1">
      <c r="A198" s="16"/>
      <c r="B198" s="16"/>
      <c r="C198" s="17"/>
      <c r="D198" s="19"/>
      <c r="E198" s="17"/>
      <c r="F198" s="17"/>
      <c r="G198" s="17"/>
      <c r="H198" s="16"/>
      <c r="I198" s="4"/>
      <c r="J198" s="4"/>
      <c r="K198" s="4"/>
      <c r="L198" s="4"/>
      <c r="M198" s="16"/>
      <c r="N198" s="16"/>
      <c r="O198" s="17"/>
      <c r="P198" s="19"/>
      <c r="Q198" s="17"/>
      <c r="R198" s="17"/>
      <c r="S198" s="17"/>
      <c r="T198" s="16"/>
    </row>
    <row r="199" spans="1:20" ht="15" customHeight="1">
      <c r="A199" s="16"/>
      <c r="B199" s="16"/>
      <c r="C199" s="17"/>
      <c r="D199" s="19"/>
      <c r="E199" s="17"/>
      <c r="F199" s="17"/>
      <c r="G199" s="17"/>
      <c r="H199" s="16"/>
      <c r="I199" s="4"/>
      <c r="J199" s="4"/>
      <c r="K199" s="4"/>
      <c r="L199" s="4"/>
      <c r="M199" s="16"/>
      <c r="N199" s="16"/>
      <c r="O199" s="17"/>
      <c r="P199" s="19"/>
      <c r="Q199" s="17"/>
      <c r="R199" s="17"/>
      <c r="S199" s="17"/>
      <c r="T199" s="16"/>
    </row>
    <row r="200" spans="1:20" ht="15" customHeight="1">
      <c r="A200" s="16"/>
      <c r="B200" s="16"/>
      <c r="C200" s="17"/>
      <c r="D200" s="19"/>
      <c r="E200" s="17"/>
      <c r="F200" s="17"/>
      <c r="G200" s="17"/>
      <c r="H200" s="16"/>
      <c r="I200" s="4"/>
      <c r="J200" s="4"/>
      <c r="K200" s="4"/>
      <c r="L200" s="4"/>
      <c r="M200" s="16"/>
      <c r="N200" s="16"/>
      <c r="O200" s="17"/>
      <c r="P200" s="19"/>
      <c r="Q200" s="17"/>
      <c r="R200" s="17"/>
      <c r="S200" s="17"/>
      <c r="T200" s="16"/>
    </row>
    <row r="201" spans="1:20" ht="15" customHeight="1">
      <c r="A201" s="16"/>
      <c r="B201" s="16"/>
      <c r="C201" s="17"/>
      <c r="D201" s="19"/>
      <c r="E201" s="17"/>
      <c r="F201" s="17"/>
      <c r="G201" s="17"/>
      <c r="H201" s="16"/>
      <c r="I201" s="4"/>
      <c r="J201" s="4"/>
      <c r="K201" s="4"/>
      <c r="L201" s="4"/>
      <c r="M201" s="16"/>
      <c r="N201" s="16"/>
      <c r="O201" s="17"/>
      <c r="P201" s="19"/>
      <c r="Q201" s="17"/>
      <c r="R201" s="17"/>
      <c r="S201" s="17"/>
      <c r="T201" s="16"/>
    </row>
    <row r="202" spans="1:20" ht="15" customHeight="1">
      <c r="A202" s="16"/>
      <c r="B202" s="16"/>
      <c r="C202" s="17"/>
      <c r="D202" s="19"/>
      <c r="E202" s="17"/>
      <c r="F202" s="17"/>
      <c r="G202" s="17"/>
      <c r="H202" s="16"/>
      <c r="I202" s="4"/>
      <c r="J202" s="4"/>
      <c r="K202" s="4"/>
      <c r="L202" s="4"/>
      <c r="M202" s="16"/>
      <c r="N202" s="16"/>
      <c r="O202" s="17"/>
      <c r="P202" s="19"/>
      <c r="Q202" s="17"/>
      <c r="R202" s="17"/>
      <c r="S202" s="17"/>
      <c r="T202" s="16"/>
    </row>
    <row r="203" spans="1:20" ht="15" customHeight="1">
      <c r="A203" s="16"/>
      <c r="B203" s="16"/>
      <c r="C203" s="17"/>
      <c r="D203" s="19"/>
      <c r="E203" s="17"/>
      <c r="F203" s="17"/>
      <c r="G203" s="17"/>
      <c r="H203" s="16"/>
      <c r="I203" s="4"/>
      <c r="J203" s="4"/>
      <c r="K203" s="4"/>
      <c r="L203" s="4"/>
      <c r="M203" s="16"/>
      <c r="N203" s="16"/>
      <c r="O203" s="17"/>
      <c r="P203" s="19"/>
      <c r="Q203" s="17"/>
      <c r="R203" s="17"/>
      <c r="S203" s="17"/>
      <c r="T203" s="16"/>
    </row>
    <row r="204" spans="1:20" ht="15" customHeight="1">
      <c r="A204" s="16"/>
      <c r="B204" s="16"/>
      <c r="C204" s="17"/>
      <c r="D204" s="19"/>
      <c r="E204" s="17"/>
      <c r="F204" s="17"/>
      <c r="G204" s="17"/>
      <c r="H204" s="16"/>
      <c r="I204" s="4"/>
      <c r="J204" s="4"/>
      <c r="K204" s="4"/>
      <c r="L204" s="4"/>
      <c r="M204" s="16"/>
      <c r="N204" s="16"/>
      <c r="O204" s="17"/>
      <c r="P204" s="19"/>
      <c r="Q204" s="17"/>
      <c r="R204" s="17"/>
      <c r="S204" s="17"/>
      <c r="T204" s="16"/>
    </row>
    <row r="205" spans="1:20" ht="15" customHeight="1">
      <c r="A205" s="16"/>
      <c r="B205" s="16"/>
      <c r="C205" s="17"/>
      <c r="D205" s="19"/>
      <c r="E205" s="17"/>
      <c r="F205" s="17"/>
      <c r="G205" s="17"/>
      <c r="H205" s="16"/>
      <c r="I205" s="4"/>
      <c r="J205" s="4"/>
      <c r="K205" s="4"/>
      <c r="L205" s="4"/>
      <c r="M205" s="16"/>
      <c r="N205" s="16"/>
      <c r="O205" s="17"/>
      <c r="P205" s="19"/>
      <c r="Q205" s="17"/>
      <c r="R205" s="17"/>
      <c r="S205" s="17"/>
      <c r="T205" s="16"/>
    </row>
    <row r="206" spans="1:20" ht="15" customHeight="1">
      <c r="A206" s="16"/>
      <c r="B206" s="16"/>
      <c r="C206" s="17"/>
      <c r="D206" s="19"/>
      <c r="E206" s="17"/>
      <c r="F206" s="17"/>
      <c r="G206" s="17"/>
      <c r="H206" s="16"/>
      <c r="I206" s="4"/>
      <c r="J206" s="4"/>
      <c r="K206" s="4"/>
      <c r="L206" s="4"/>
      <c r="M206" s="16"/>
      <c r="N206" s="16"/>
      <c r="O206" s="17"/>
      <c r="P206" s="19"/>
      <c r="Q206" s="17"/>
      <c r="R206" s="17"/>
      <c r="S206" s="17"/>
      <c r="T206" s="16"/>
    </row>
    <row r="207" spans="1:20" ht="15" customHeight="1">
      <c r="A207" s="16"/>
      <c r="B207" s="16"/>
      <c r="C207" s="17"/>
      <c r="D207" s="19"/>
      <c r="E207" s="17"/>
      <c r="F207" s="17"/>
      <c r="G207" s="17"/>
      <c r="H207" s="16"/>
      <c r="I207" s="4"/>
      <c r="J207" s="4"/>
      <c r="K207" s="4"/>
      <c r="L207" s="4"/>
      <c r="M207" s="16"/>
      <c r="N207" s="16"/>
      <c r="O207" s="17"/>
      <c r="P207" s="19"/>
      <c r="Q207" s="17"/>
      <c r="R207" s="17"/>
      <c r="S207" s="17"/>
      <c r="T207" s="16"/>
    </row>
    <row r="208" spans="1:20" ht="15" customHeight="1">
      <c r="A208" s="16"/>
      <c r="B208" s="16"/>
      <c r="C208" s="17"/>
      <c r="D208" s="19"/>
      <c r="E208" s="17"/>
      <c r="F208" s="17"/>
      <c r="G208" s="17"/>
      <c r="H208" s="16"/>
      <c r="I208" s="4"/>
      <c r="J208" s="4"/>
      <c r="K208" s="4"/>
      <c r="L208" s="4"/>
      <c r="M208" s="16"/>
      <c r="N208" s="16"/>
      <c r="O208" s="17"/>
      <c r="P208" s="19"/>
      <c r="Q208" s="17"/>
      <c r="R208" s="17"/>
      <c r="S208" s="17"/>
      <c r="T208" s="16"/>
    </row>
    <row r="209" spans="1:20" ht="15" customHeight="1">
      <c r="A209" s="16"/>
      <c r="B209" s="16"/>
      <c r="C209" s="17"/>
      <c r="D209" s="19"/>
      <c r="E209" s="17"/>
      <c r="F209" s="17"/>
      <c r="G209" s="17"/>
      <c r="H209" s="16"/>
      <c r="I209" s="4"/>
      <c r="J209" s="4"/>
      <c r="K209" s="4"/>
      <c r="L209" s="4"/>
      <c r="M209" s="16"/>
      <c r="N209" s="16"/>
      <c r="O209" s="17"/>
      <c r="P209" s="19"/>
      <c r="Q209" s="17"/>
      <c r="R209" s="17"/>
      <c r="S209" s="17"/>
      <c r="T209" s="16"/>
    </row>
    <row r="210" spans="1:20" ht="15" customHeight="1">
      <c r="A210" s="16"/>
      <c r="B210" s="16"/>
      <c r="C210" s="17"/>
      <c r="D210" s="19"/>
      <c r="E210" s="17"/>
      <c r="F210" s="17"/>
      <c r="G210" s="17"/>
      <c r="H210" s="16"/>
      <c r="I210" s="4"/>
      <c r="J210" s="4"/>
      <c r="K210" s="4"/>
      <c r="L210" s="4"/>
      <c r="M210" s="16"/>
      <c r="N210" s="16"/>
      <c r="O210" s="17"/>
      <c r="P210" s="19"/>
      <c r="Q210" s="17"/>
      <c r="R210" s="17"/>
      <c r="S210" s="17"/>
      <c r="T210" s="16"/>
    </row>
    <row r="211" spans="1:20" ht="15" customHeight="1">
      <c r="A211" s="16"/>
      <c r="B211" s="16"/>
      <c r="C211" s="17"/>
      <c r="D211" s="19"/>
      <c r="E211" s="17"/>
      <c r="F211" s="17"/>
      <c r="G211" s="17"/>
      <c r="H211" s="16"/>
      <c r="I211" s="4"/>
      <c r="J211" s="4"/>
      <c r="K211" s="4"/>
      <c r="L211" s="4"/>
      <c r="M211" s="16"/>
      <c r="N211" s="16"/>
      <c r="O211" s="17"/>
      <c r="P211" s="19"/>
      <c r="Q211" s="17"/>
      <c r="R211" s="17"/>
      <c r="S211" s="17"/>
      <c r="T211" s="16"/>
    </row>
    <row r="212" spans="1:20" ht="15" customHeight="1">
      <c r="A212" s="16"/>
      <c r="B212" s="16"/>
      <c r="C212" s="17"/>
      <c r="D212" s="19"/>
      <c r="E212" s="17"/>
      <c r="F212" s="17"/>
      <c r="G212" s="17"/>
      <c r="H212" s="16"/>
      <c r="I212" s="4"/>
      <c r="J212" s="4"/>
      <c r="K212" s="4"/>
      <c r="L212" s="4"/>
      <c r="M212" s="16"/>
      <c r="N212" s="16"/>
      <c r="O212" s="17"/>
      <c r="P212" s="19"/>
      <c r="Q212" s="17"/>
      <c r="R212" s="17"/>
      <c r="S212" s="17"/>
      <c r="T212" s="16"/>
    </row>
    <row r="213" spans="1:20" ht="15" customHeight="1">
      <c r="A213" s="16"/>
      <c r="B213" s="16"/>
      <c r="C213" s="17"/>
      <c r="D213" s="19"/>
      <c r="E213" s="17"/>
      <c r="F213" s="17"/>
      <c r="G213" s="17"/>
      <c r="H213" s="16"/>
      <c r="I213" s="4"/>
      <c r="J213" s="4"/>
      <c r="K213" s="4"/>
      <c r="L213" s="4"/>
      <c r="M213" s="16"/>
      <c r="N213" s="16"/>
      <c r="O213" s="17"/>
      <c r="P213" s="19"/>
      <c r="Q213" s="17"/>
      <c r="R213" s="17"/>
      <c r="S213" s="17"/>
      <c r="T213" s="16"/>
    </row>
    <row r="214" spans="1:20" ht="15" customHeight="1">
      <c r="A214" s="16"/>
      <c r="B214" s="16"/>
      <c r="C214" s="17"/>
      <c r="D214" s="19"/>
      <c r="E214" s="17"/>
      <c r="F214" s="17"/>
      <c r="G214" s="17"/>
      <c r="H214" s="16"/>
      <c r="I214" s="4"/>
      <c r="J214" s="4"/>
      <c r="K214" s="4"/>
      <c r="L214" s="4"/>
      <c r="M214" s="16"/>
      <c r="N214" s="16"/>
      <c r="O214" s="17"/>
      <c r="P214" s="19"/>
      <c r="Q214" s="17"/>
      <c r="R214" s="17"/>
      <c r="S214" s="17"/>
      <c r="T214" s="16"/>
    </row>
    <row r="215" spans="1:20" ht="15" customHeight="1">
      <c r="A215" s="16"/>
      <c r="B215" s="16"/>
      <c r="C215" s="17"/>
      <c r="D215" s="19"/>
      <c r="E215" s="17"/>
      <c r="F215" s="17"/>
      <c r="G215" s="17"/>
      <c r="H215" s="16"/>
      <c r="I215" s="4"/>
      <c r="J215" s="4"/>
      <c r="K215" s="4"/>
      <c r="L215" s="4"/>
      <c r="M215" s="16"/>
      <c r="N215" s="16"/>
      <c r="O215" s="17"/>
      <c r="P215" s="19"/>
      <c r="Q215" s="17"/>
      <c r="R215" s="17"/>
      <c r="S215" s="17"/>
      <c r="T215" s="16"/>
    </row>
    <row r="216" spans="1:20" ht="15" customHeight="1">
      <c r="A216" s="16"/>
      <c r="B216" s="16"/>
      <c r="C216" s="17"/>
      <c r="D216" s="19"/>
      <c r="E216" s="17"/>
      <c r="F216" s="17"/>
      <c r="G216" s="17"/>
      <c r="H216" s="16"/>
      <c r="I216" s="4"/>
      <c r="J216" s="4"/>
      <c r="K216" s="4"/>
      <c r="L216" s="4"/>
      <c r="M216" s="16"/>
      <c r="N216" s="16"/>
      <c r="O216" s="17"/>
      <c r="P216" s="19"/>
      <c r="Q216" s="17"/>
      <c r="R216" s="17"/>
      <c r="S216" s="17"/>
      <c r="T216" s="16"/>
    </row>
    <row r="217" spans="1:20" ht="15" customHeight="1">
      <c r="A217" s="16"/>
      <c r="B217" s="16"/>
      <c r="C217" s="17"/>
      <c r="D217" s="19"/>
      <c r="E217" s="17"/>
      <c r="F217" s="17"/>
      <c r="G217" s="17"/>
      <c r="H217" s="16"/>
      <c r="I217" s="4"/>
      <c r="J217" s="4"/>
      <c r="K217" s="4"/>
      <c r="L217" s="4"/>
      <c r="M217" s="16"/>
      <c r="N217" s="16"/>
      <c r="O217" s="17"/>
      <c r="P217" s="19"/>
      <c r="Q217" s="17"/>
      <c r="R217" s="17"/>
      <c r="S217" s="17"/>
      <c r="T217" s="16"/>
    </row>
    <row r="218" spans="1:20" ht="15" customHeight="1">
      <c r="A218" s="16"/>
      <c r="B218" s="16"/>
      <c r="C218" s="17"/>
      <c r="D218" s="19"/>
      <c r="E218" s="17"/>
      <c r="F218" s="17"/>
      <c r="G218" s="17"/>
      <c r="H218" s="16"/>
      <c r="I218" s="4"/>
      <c r="J218" s="4"/>
      <c r="K218" s="4"/>
      <c r="L218" s="4"/>
      <c r="M218" s="16"/>
      <c r="N218" s="16"/>
      <c r="O218" s="17"/>
      <c r="P218" s="19"/>
      <c r="Q218" s="17"/>
      <c r="R218" s="17"/>
      <c r="S218" s="17"/>
      <c r="T218" s="16"/>
    </row>
    <row r="219" spans="1:20" ht="15" customHeight="1">
      <c r="A219" s="16"/>
      <c r="B219" s="16"/>
      <c r="C219" s="17"/>
      <c r="D219" s="19"/>
      <c r="E219" s="17"/>
      <c r="F219" s="17"/>
      <c r="G219" s="17"/>
      <c r="H219" s="16"/>
      <c r="I219" s="4"/>
      <c r="J219" s="4"/>
      <c r="K219" s="4"/>
      <c r="L219" s="4"/>
      <c r="M219" s="16"/>
      <c r="N219" s="16"/>
      <c r="O219" s="17"/>
      <c r="P219" s="19"/>
      <c r="Q219" s="17"/>
      <c r="R219" s="17"/>
      <c r="S219" s="17"/>
      <c r="T219" s="16"/>
    </row>
    <row r="220" spans="1:20" ht="15" customHeight="1">
      <c r="A220" s="16"/>
      <c r="B220" s="16"/>
      <c r="C220" s="17"/>
      <c r="D220" s="19"/>
      <c r="E220" s="17"/>
      <c r="F220" s="17"/>
      <c r="G220" s="17"/>
      <c r="H220" s="16"/>
      <c r="I220" s="4"/>
      <c r="K220" s="4"/>
      <c r="L220" s="4"/>
    </row>
    <row r="221" spans="1:20" ht="15" customHeight="1">
      <c r="K221" s="4"/>
      <c r="L221" s="4"/>
    </row>
    <row r="222" spans="1:20" ht="15" customHeight="1">
      <c r="K222" s="4"/>
      <c r="L222" s="4"/>
    </row>
    <row r="223" spans="1:20" ht="15" customHeight="1">
      <c r="K223" s="4"/>
      <c r="L223" s="4"/>
    </row>
  </sheetData>
  <sheetProtection formatCells="0" formatColumns="0" formatRows="0" deleteColumns="0" deleteRows="0" sort="0" autoFilter="0"/>
  <protectedRanges>
    <protectedRange sqref="A1:I1048576 M1:T1048576" name="data_5"/>
  </protectedRange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B1:AH43"/>
  <sheetViews>
    <sheetView showGridLines="0" zoomScale="60" zoomScaleNormal="60" zoomScalePageLayoutView="40" workbookViewId="0">
      <selection activeCell="E9" sqref="E9:F9"/>
    </sheetView>
  </sheetViews>
  <sheetFormatPr defaultColWidth="25.7109375" defaultRowHeight="20.25"/>
  <cols>
    <col min="1" max="1" width="5.7109375" style="102" customWidth="1"/>
    <col min="2" max="2" width="3.7109375" style="102" customWidth="1"/>
    <col min="3" max="3" width="10.7109375" style="102" customWidth="1"/>
    <col min="4" max="4" width="25.7109375" style="102"/>
    <col min="5" max="5" width="15.7109375" style="102" customWidth="1"/>
    <col min="6" max="7" width="10.7109375" style="102" customWidth="1"/>
    <col min="8" max="9" width="15.7109375" style="102" customWidth="1"/>
    <col min="10" max="11" width="10.7109375" style="102" customWidth="1"/>
    <col min="12" max="12" width="15.7109375" style="102" customWidth="1"/>
    <col min="13" max="14" width="10.7109375" style="102" customWidth="1"/>
    <col min="15" max="18" width="24.7109375" style="102" customWidth="1"/>
    <col min="19" max="20" width="15.7109375" style="102" customWidth="1"/>
    <col min="21" max="23" width="25.7109375" style="102"/>
    <col min="24" max="24" width="3.7109375" style="102" customWidth="1"/>
    <col min="25" max="25" width="5.7109375" style="102" customWidth="1"/>
    <col min="26" max="27" width="25.7109375" style="103"/>
    <col min="28" max="29" width="25.7109375" style="102"/>
    <col min="30" max="31" width="25.7109375" style="103"/>
    <col min="32" max="16384" width="25.7109375" style="102"/>
  </cols>
  <sheetData>
    <row r="1" spans="2:31" ht="30" customHeight="1"/>
    <row r="2" spans="2:31" ht="20.100000000000001" customHeight="1">
      <c r="B2" s="104"/>
      <c r="C2" s="105"/>
      <c r="D2" s="106"/>
      <c r="E2" s="106"/>
      <c r="F2" s="106"/>
      <c r="G2" s="106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8"/>
      <c r="X2" s="104"/>
      <c r="AE2" s="107"/>
    </row>
    <row r="3" spans="2:31" ht="49.9" customHeight="1">
      <c r="B3" s="104"/>
      <c r="C3" s="316" t="s">
        <v>137</v>
      </c>
      <c r="D3" s="316"/>
      <c r="E3" s="316"/>
      <c r="F3" s="316"/>
      <c r="G3" s="316"/>
      <c r="H3" s="316"/>
      <c r="I3" s="316"/>
      <c r="J3" s="316"/>
      <c r="K3" s="316"/>
      <c r="L3" s="316"/>
      <c r="M3" s="316"/>
      <c r="N3" s="316"/>
      <c r="O3" s="316"/>
      <c r="P3" s="316"/>
      <c r="Q3" s="316"/>
      <c r="R3" s="316"/>
      <c r="S3" s="316"/>
      <c r="T3" s="316"/>
      <c r="U3" s="316"/>
      <c r="V3" s="316"/>
      <c r="W3" s="316"/>
      <c r="X3" s="104"/>
      <c r="AE3" s="107"/>
    </row>
    <row r="4" spans="2:31" ht="30" customHeight="1">
      <c r="B4" s="104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295"/>
      <c r="S4" s="295"/>
      <c r="T4" s="295"/>
      <c r="U4" s="295"/>
      <c r="V4" s="295"/>
      <c r="W4" s="295"/>
      <c r="X4" s="104"/>
      <c r="AE4" s="107"/>
    </row>
    <row r="5" spans="2:31" ht="30" customHeight="1">
      <c r="B5" s="104"/>
      <c r="C5" s="319" t="s">
        <v>82</v>
      </c>
      <c r="D5" s="319"/>
      <c r="E5" s="286"/>
      <c r="F5" s="286"/>
      <c r="G5" s="286"/>
      <c r="H5" s="286"/>
      <c r="I5" s="286"/>
      <c r="J5" s="286"/>
      <c r="K5" s="286"/>
      <c r="L5" s="111"/>
      <c r="M5" s="283" t="s">
        <v>83</v>
      </c>
      <c r="N5" s="283"/>
      <c r="O5" s="283"/>
      <c r="P5" s="284"/>
      <c r="Q5" s="284"/>
      <c r="R5" s="110"/>
      <c r="S5" s="110"/>
      <c r="T5" s="283" t="s">
        <v>84</v>
      </c>
      <c r="U5" s="283"/>
      <c r="V5" s="109"/>
      <c r="W5" s="104"/>
      <c r="X5" s="104"/>
      <c r="AE5" s="107"/>
    </row>
    <row r="6" spans="2:31" ht="30" customHeight="1">
      <c r="B6" s="104"/>
      <c r="C6" s="283" t="s">
        <v>85</v>
      </c>
      <c r="D6" s="283"/>
      <c r="E6" s="285"/>
      <c r="F6" s="285"/>
      <c r="G6" s="285"/>
      <c r="H6" s="285"/>
      <c r="I6" s="285"/>
      <c r="J6" s="285"/>
      <c r="K6" s="285"/>
      <c r="L6" s="111"/>
      <c r="M6" s="283" t="s">
        <v>86</v>
      </c>
      <c r="N6" s="283"/>
      <c r="O6" s="283"/>
      <c r="P6" s="285"/>
      <c r="Q6" s="285"/>
      <c r="R6" s="110"/>
      <c r="S6" s="110"/>
      <c r="T6" s="283" t="s">
        <v>87</v>
      </c>
      <c r="U6" s="283"/>
      <c r="V6" s="112"/>
      <c r="W6" s="104"/>
      <c r="X6" s="104"/>
      <c r="AE6" s="107"/>
    </row>
    <row r="7" spans="2:31" ht="30" customHeight="1" thickBot="1">
      <c r="B7" s="104"/>
      <c r="C7" s="104"/>
      <c r="D7" s="104"/>
      <c r="E7" s="104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AE7" s="107"/>
    </row>
    <row r="8" spans="2:31" ht="30" customHeight="1">
      <c r="B8" s="104"/>
      <c r="C8" s="113"/>
      <c r="D8" s="114"/>
      <c r="E8" s="290" t="s">
        <v>91</v>
      </c>
      <c r="F8" s="290"/>
      <c r="G8" s="290" t="s">
        <v>92</v>
      </c>
      <c r="H8" s="290"/>
      <c r="I8" s="290" t="s">
        <v>93</v>
      </c>
      <c r="J8" s="291"/>
      <c r="K8" s="289" t="s">
        <v>94</v>
      </c>
      <c r="L8" s="290"/>
      <c r="M8" s="290"/>
      <c r="N8" s="290"/>
      <c r="O8" s="291"/>
      <c r="P8" s="320" t="s">
        <v>89</v>
      </c>
      <c r="Q8" s="304"/>
      <c r="R8" s="181"/>
      <c r="S8" s="304" t="s">
        <v>171</v>
      </c>
      <c r="T8" s="304"/>
      <c r="U8" s="115"/>
      <c r="V8" s="116" t="s">
        <v>172</v>
      </c>
      <c r="W8" s="117"/>
      <c r="X8" s="104"/>
      <c r="AE8" s="107"/>
    </row>
    <row r="9" spans="2:31" ht="30" customHeight="1">
      <c r="B9" s="104"/>
      <c r="C9" s="294" t="s">
        <v>95</v>
      </c>
      <c r="D9" s="283"/>
      <c r="E9" s="295"/>
      <c r="F9" s="295"/>
      <c r="G9" s="292"/>
      <c r="H9" s="292"/>
      <c r="I9" s="292"/>
      <c r="J9" s="293"/>
      <c r="K9" s="294" t="s">
        <v>96</v>
      </c>
      <c r="L9" s="283"/>
      <c r="M9" s="295"/>
      <c r="N9" s="295"/>
      <c r="O9" s="305"/>
      <c r="P9" s="294" t="s">
        <v>173</v>
      </c>
      <c r="Q9" s="283"/>
      <c r="R9" s="183"/>
      <c r="S9" s="283" t="s">
        <v>110</v>
      </c>
      <c r="T9" s="283"/>
      <c r="U9" s="118"/>
      <c r="V9" s="108" t="s">
        <v>111</v>
      </c>
      <c r="W9" s="119"/>
      <c r="X9" s="104"/>
      <c r="AE9" s="107"/>
    </row>
    <row r="10" spans="2:31" ht="30" customHeight="1">
      <c r="B10" s="104"/>
      <c r="C10" s="294" t="s">
        <v>97</v>
      </c>
      <c r="D10" s="283"/>
      <c r="E10" s="295"/>
      <c r="F10" s="295"/>
      <c r="G10" s="292"/>
      <c r="H10" s="292"/>
      <c r="I10" s="292"/>
      <c r="J10" s="293"/>
      <c r="K10" s="294" t="s">
        <v>98</v>
      </c>
      <c r="L10" s="283"/>
      <c r="M10" s="306"/>
      <c r="N10" s="306"/>
      <c r="O10" s="307"/>
      <c r="P10" s="294" t="s">
        <v>166</v>
      </c>
      <c r="Q10" s="283"/>
      <c r="R10" s="183"/>
      <c r="S10" s="283" t="s">
        <v>112</v>
      </c>
      <c r="T10" s="283"/>
      <c r="U10" s="118"/>
      <c r="V10" s="108" t="s">
        <v>113</v>
      </c>
      <c r="W10" s="119"/>
      <c r="X10" s="104"/>
      <c r="AE10" s="107"/>
    </row>
    <row r="11" spans="2:31" ht="30" customHeight="1">
      <c r="B11" s="104"/>
      <c r="C11" s="294" t="s">
        <v>99</v>
      </c>
      <c r="D11" s="283"/>
      <c r="E11" s="295"/>
      <c r="F11" s="295"/>
      <c r="G11" s="292"/>
      <c r="H11" s="292"/>
      <c r="I11" s="292"/>
      <c r="J11" s="293"/>
      <c r="K11" s="294" t="s">
        <v>100</v>
      </c>
      <c r="L11" s="283"/>
      <c r="M11" s="308"/>
      <c r="N11" s="308"/>
      <c r="O11" s="309"/>
      <c r="P11" s="294" t="s">
        <v>167</v>
      </c>
      <c r="Q11" s="283"/>
      <c r="R11" s="183"/>
      <c r="S11" s="283" t="s">
        <v>114</v>
      </c>
      <c r="T11" s="283"/>
      <c r="U11" s="118"/>
      <c r="V11" s="317" t="s">
        <v>115</v>
      </c>
      <c r="W11" s="318"/>
      <c r="X11" s="104"/>
      <c r="AE11" s="107"/>
    </row>
    <row r="12" spans="2:31" ht="30" customHeight="1">
      <c r="B12" s="104"/>
      <c r="C12" s="294" t="s">
        <v>101</v>
      </c>
      <c r="D12" s="283"/>
      <c r="E12" s="295"/>
      <c r="F12" s="295"/>
      <c r="G12" s="292"/>
      <c r="H12" s="292"/>
      <c r="I12" s="292"/>
      <c r="J12" s="293"/>
      <c r="K12" s="310" t="s">
        <v>116</v>
      </c>
      <c r="L12" s="311"/>
      <c r="M12" s="311"/>
      <c r="N12" s="311"/>
      <c r="O12" s="312"/>
      <c r="P12" s="294" t="s">
        <v>168</v>
      </c>
      <c r="Q12" s="283"/>
      <c r="R12" s="183"/>
      <c r="S12" s="283" t="s">
        <v>170</v>
      </c>
      <c r="T12" s="283"/>
      <c r="U12" s="118"/>
      <c r="V12" s="317"/>
      <c r="W12" s="318"/>
      <c r="X12" s="104"/>
      <c r="Z12" s="280" t="b">
        <v>1</v>
      </c>
      <c r="AE12" s="107"/>
    </row>
    <row r="13" spans="2:31" ht="30" customHeight="1">
      <c r="B13" s="104"/>
      <c r="C13" s="120"/>
      <c r="D13" s="104"/>
      <c r="E13" s="104"/>
      <c r="F13" s="104"/>
      <c r="G13" s="104"/>
      <c r="H13" s="104"/>
      <c r="I13" s="104"/>
      <c r="J13" s="183"/>
      <c r="K13" s="313"/>
      <c r="L13" s="314"/>
      <c r="M13" s="314"/>
      <c r="N13" s="314"/>
      <c r="O13" s="315"/>
      <c r="P13" s="294" t="s">
        <v>169</v>
      </c>
      <c r="Q13" s="283"/>
      <c r="R13" s="183"/>
      <c r="S13" s="110"/>
      <c r="T13" s="110"/>
      <c r="U13" s="104"/>
      <c r="V13" s="317"/>
      <c r="W13" s="318"/>
      <c r="X13" s="104"/>
      <c r="AE13" s="107"/>
    </row>
    <row r="14" spans="2:31" ht="30" customHeight="1" thickBot="1">
      <c r="B14" s="104"/>
      <c r="C14" s="121"/>
      <c r="D14" s="146"/>
      <c r="E14" s="146"/>
      <c r="F14" s="146"/>
      <c r="G14" s="146"/>
      <c r="H14" s="146"/>
      <c r="I14" s="146"/>
      <c r="J14" s="122"/>
      <c r="K14" s="121"/>
      <c r="L14" s="146"/>
      <c r="M14" s="146"/>
      <c r="N14" s="146"/>
      <c r="O14" s="122"/>
      <c r="P14" s="298" t="s">
        <v>175</v>
      </c>
      <c r="Q14" s="299"/>
      <c r="R14" s="122"/>
      <c r="S14" s="145"/>
      <c r="T14" s="145"/>
      <c r="U14" s="146"/>
      <c r="V14" s="146"/>
      <c r="W14" s="122"/>
      <c r="X14" s="104"/>
      <c r="AE14" s="107"/>
    </row>
    <row r="15" spans="2:31" ht="30" customHeight="1" thickBot="1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  <c r="S15" s="104"/>
      <c r="T15" s="104"/>
      <c r="U15" s="104"/>
      <c r="V15" s="104"/>
      <c r="W15" s="104"/>
      <c r="X15" s="104"/>
      <c r="AE15" s="107"/>
    </row>
    <row r="16" spans="2:31" ht="30" customHeight="1">
      <c r="B16" s="104"/>
      <c r="C16" s="301" t="s">
        <v>79</v>
      </c>
      <c r="D16" s="323" t="s">
        <v>91</v>
      </c>
      <c r="E16" s="301" t="s">
        <v>104</v>
      </c>
      <c r="F16" s="302"/>
      <c r="G16" s="303"/>
      <c r="H16" s="123" t="s">
        <v>117</v>
      </c>
      <c r="I16" s="301" t="s">
        <v>174</v>
      </c>
      <c r="J16" s="302"/>
      <c r="K16" s="303"/>
      <c r="L16" s="301" t="s">
        <v>118</v>
      </c>
      <c r="M16" s="302"/>
      <c r="N16" s="303"/>
      <c r="O16" s="323" t="s">
        <v>105</v>
      </c>
      <c r="P16" s="303" t="s">
        <v>119</v>
      </c>
      <c r="Q16" s="325" t="s">
        <v>120</v>
      </c>
      <c r="R16" s="327" t="s">
        <v>121</v>
      </c>
      <c r="S16" s="325" t="s">
        <v>122</v>
      </c>
      <c r="T16" s="327"/>
      <c r="U16" s="325" t="s">
        <v>123</v>
      </c>
      <c r="V16" s="327"/>
      <c r="W16" s="303" t="s">
        <v>91</v>
      </c>
      <c r="X16" s="104"/>
      <c r="Z16" s="254"/>
      <c r="AA16" s="254"/>
    </row>
    <row r="17" spans="2:34" ht="30" customHeight="1" thickBot="1">
      <c r="B17" s="104"/>
      <c r="C17" s="322"/>
      <c r="D17" s="324"/>
      <c r="E17" s="126" t="s">
        <v>153</v>
      </c>
      <c r="F17" s="124" t="s">
        <v>154</v>
      </c>
      <c r="G17" s="124" t="s">
        <v>155</v>
      </c>
      <c r="H17" s="125" t="s">
        <v>124</v>
      </c>
      <c r="I17" s="126" t="s">
        <v>153</v>
      </c>
      <c r="J17" s="124" t="s">
        <v>154</v>
      </c>
      <c r="K17" s="124" t="s">
        <v>155</v>
      </c>
      <c r="L17" s="126" t="s">
        <v>153</v>
      </c>
      <c r="M17" s="124" t="s">
        <v>154</v>
      </c>
      <c r="N17" s="124" t="s">
        <v>155</v>
      </c>
      <c r="O17" s="324"/>
      <c r="P17" s="321"/>
      <c r="Q17" s="326"/>
      <c r="R17" s="328"/>
      <c r="S17" s="126" t="s">
        <v>125</v>
      </c>
      <c r="T17" s="127" t="s">
        <v>126</v>
      </c>
      <c r="U17" s="126" t="s">
        <v>92</v>
      </c>
      <c r="V17" s="127" t="s">
        <v>93</v>
      </c>
      <c r="W17" s="321"/>
      <c r="X17" s="104"/>
      <c r="AE17" s="107"/>
    </row>
    <row r="18" spans="2:34" ht="30" customHeight="1">
      <c r="B18" s="104"/>
      <c r="C18" s="128"/>
      <c r="D18" s="129"/>
      <c r="E18" s="218"/>
      <c r="F18" s="205"/>
      <c r="G18" s="221"/>
      <c r="H18" s="255"/>
      <c r="I18" s="218"/>
      <c r="J18" s="205"/>
      <c r="K18" s="221"/>
      <c r="L18" s="218"/>
      <c r="M18" s="205"/>
      <c r="N18" s="221"/>
      <c r="O18" s="260"/>
      <c r="P18" s="258"/>
      <c r="Q18" s="130"/>
      <c r="R18" s="131"/>
      <c r="S18" s="130"/>
      <c r="T18" s="131"/>
      <c r="U18" s="130"/>
      <c r="V18" s="131"/>
      <c r="W18" s="132"/>
      <c r="X18" s="104"/>
      <c r="AB18" s="103">
        <f>U18-Z18</f>
        <v>0</v>
      </c>
      <c r="AC18" s="103">
        <f>V18-AA18</f>
        <v>0</v>
      </c>
    </row>
    <row r="19" spans="2:34" ht="30" customHeight="1">
      <c r="B19" s="281"/>
      <c r="C19" s="128"/>
      <c r="D19" s="129"/>
      <c r="E19" s="218"/>
      <c r="F19" s="205"/>
      <c r="G19" s="221"/>
      <c r="H19" s="255"/>
      <c r="I19" s="218"/>
      <c r="J19" s="205"/>
      <c r="K19" s="221"/>
      <c r="L19" s="218"/>
      <c r="M19" s="205"/>
      <c r="N19" s="221"/>
      <c r="O19" s="260"/>
      <c r="P19" s="258"/>
      <c r="Q19" s="130"/>
      <c r="R19" s="131"/>
      <c r="S19" s="130"/>
      <c r="T19" s="131"/>
      <c r="U19" s="130"/>
      <c r="V19" s="131"/>
      <c r="W19" s="132"/>
      <c r="X19" s="281"/>
      <c r="AB19" s="103"/>
      <c r="AC19" s="103"/>
    </row>
    <row r="20" spans="2:34" ht="30" customHeight="1" thickBot="1">
      <c r="B20" s="104"/>
      <c r="C20" s="133"/>
      <c r="D20" s="134"/>
      <c r="E20" s="219"/>
      <c r="F20" s="220"/>
      <c r="G20" s="222"/>
      <c r="H20" s="256"/>
      <c r="I20" s="219"/>
      <c r="J20" s="220"/>
      <c r="K20" s="222"/>
      <c r="L20" s="219"/>
      <c r="M20" s="220"/>
      <c r="N20" s="222"/>
      <c r="O20" s="261"/>
      <c r="P20" s="259"/>
      <c r="Q20" s="135"/>
      <c r="R20" s="136"/>
      <c r="S20" s="135"/>
      <c r="T20" s="136"/>
      <c r="U20" s="135"/>
      <c r="V20" s="136"/>
      <c r="W20" s="137"/>
      <c r="X20" s="104"/>
      <c r="Y20" s="103"/>
      <c r="AB20" s="103"/>
      <c r="AC20" s="103"/>
      <c r="AH20" s="103"/>
    </row>
    <row r="21" spans="2:34" ht="30" customHeight="1" thickBot="1"/>
    <row r="22" spans="2:34" ht="30" customHeight="1">
      <c r="C22" s="138" t="s">
        <v>127</v>
      </c>
      <c r="D22" s="114"/>
      <c r="E22" s="114"/>
      <c r="F22" s="114"/>
      <c r="G22" s="114"/>
      <c r="H22" s="139"/>
      <c r="I22" s="140"/>
      <c r="J22" s="141"/>
      <c r="K22" s="141"/>
      <c r="L22" s="142"/>
      <c r="M22" s="176"/>
      <c r="N22" s="176"/>
      <c r="O22" s="251"/>
    </row>
    <row r="23" spans="2:34" ht="30" customHeight="1">
      <c r="C23" s="143"/>
      <c r="D23" s="108" t="s">
        <v>128</v>
      </c>
      <c r="E23" s="300" t="str">
        <f>IF(ISBLANK($E$9),CONCATENATE("000° 00' 08""√","K","  : "),CONCATENATE("000° 00' 08""√",$R$8,"  : "))</f>
        <v xml:space="preserve">000° 00' 08"√K  : </v>
      </c>
      <c r="F23" s="300"/>
      <c r="G23" s="295" t="str">
        <f>IF(ISBLANK($E$9),"",DegtoDMSStr(8*SQRT($R$8)/3600))</f>
        <v/>
      </c>
      <c r="H23" s="295"/>
      <c r="I23" s="297" t="s">
        <v>129</v>
      </c>
      <c r="J23" s="297"/>
      <c r="K23" s="297"/>
      <c r="L23" s="296" t="s">
        <v>130</v>
      </c>
      <c r="M23" s="296"/>
      <c r="N23" s="296"/>
      <c r="O23" s="119" t="str">
        <f>IF(ISBLANK($E$9),"","1 : 20,000")</f>
        <v/>
      </c>
    </row>
    <row r="24" spans="2:34" ht="30" customHeight="1" thickBot="1">
      <c r="C24" s="144"/>
      <c r="D24" s="145"/>
      <c r="E24" s="287" t="s">
        <v>131</v>
      </c>
      <c r="F24" s="287"/>
      <c r="G24" s="288" t="str">
        <f>IF(ISBLANK($E$9),"",$R$13)</f>
        <v/>
      </c>
      <c r="H24" s="288"/>
      <c r="I24" s="146"/>
      <c r="J24" s="146"/>
      <c r="K24" s="146"/>
      <c r="L24" s="287" t="s">
        <v>132</v>
      </c>
      <c r="M24" s="287"/>
      <c r="N24" s="287"/>
      <c r="O24" s="147" t="str">
        <f>IF(ISBLANK($E$9),"",$W$11)</f>
        <v/>
      </c>
    </row>
    <row r="25" spans="2:34" ht="30" customHeight="1" thickBot="1"/>
    <row r="26" spans="2:34" ht="30" customHeight="1">
      <c r="B26" s="104"/>
      <c r="C26" s="186" t="s">
        <v>138</v>
      </c>
      <c r="D26" s="176"/>
      <c r="E26" s="176"/>
      <c r="F26" s="176"/>
      <c r="G26" s="176"/>
      <c r="H26" s="176"/>
      <c r="I26" s="177"/>
      <c r="J26" s="177"/>
      <c r="K26" s="177"/>
      <c r="L26" s="114"/>
      <c r="M26" s="114"/>
      <c r="N26" s="178"/>
      <c r="O26" s="179"/>
      <c r="P26" s="176"/>
      <c r="Q26" s="176"/>
      <c r="R26" s="176"/>
      <c r="S26" s="180"/>
      <c r="T26" s="177"/>
      <c r="U26" s="177"/>
      <c r="V26" s="114"/>
      <c r="W26" s="181"/>
    </row>
    <row r="27" spans="2:34" ht="30" customHeight="1">
      <c r="B27" s="104"/>
      <c r="C27" s="182"/>
      <c r="I27" s="104"/>
      <c r="J27" s="104"/>
      <c r="K27" s="104"/>
      <c r="L27" s="104"/>
      <c r="M27" s="104"/>
      <c r="N27" s="154"/>
      <c r="O27" s="155"/>
      <c r="S27" s="104"/>
      <c r="T27" s="104"/>
      <c r="U27" s="104"/>
      <c r="V27" s="104"/>
      <c r="W27" s="183"/>
    </row>
    <row r="28" spans="2:34" ht="30" customHeight="1">
      <c r="B28" s="104"/>
      <c r="C28" s="182"/>
      <c r="I28" s="104"/>
      <c r="J28" s="104"/>
      <c r="K28" s="104"/>
      <c r="L28" s="104"/>
      <c r="M28" s="104"/>
      <c r="N28" s="154"/>
      <c r="O28" s="155"/>
      <c r="S28" s="104"/>
      <c r="T28" s="104"/>
      <c r="U28" s="104"/>
      <c r="V28" s="104"/>
      <c r="W28" s="183"/>
    </row>
    <row r="29" spans="2:34" ht="30" customHeight="1">
      <c r="B29" s="104"/>
      <c r="C29" s="182"/>
      <c r="I29" s="104"/>
      <c r="J29" s="104"/>
      <c r="K29" s="104"/>
      <c r="L29" s="104"/>
      <c r="M29" s="104"/>
      <c r="N29" s="154"/>
      <c r="O29" s="155"/>
      <c r="S29" s="104"/>
      <c r="T29" s="104"/>
      <c r="U29" s="104"/>
      <c r="V29" s="104"/>
      <c r="W29" s="183"/>
    </row>
    <row r="30" spans="2:34" ht="30" customHeight="1">
      <c r="B30" s="104"/>
      <c r="C30" s="182"/>
      <c r="I30" s="104"/>
      <c r="J30" s="104"/>
      <c r="K30" s="104"/>
      <c r="L30" s="104"/>
      <c r="M30" s="104"/>
      <c r="N30" s="154"/>
      <c r="O30" s="155"/>
      <c r="S30" s="104"/>
      <c r="T30" s="104"/>
      <c r="U30" s="104"/>
      <c r="V30" s="104"/>
      <c r="W30" s="183"/>
    </row>
    <row r="31" spans="2:34" ht="30" customHeight="1">
      <c r="B31" s="104"/>
      <c r="C31" s="182"/>
      <c r="I31" s="104"/>
      <c r="J31" s="104"/>
      <c r="K31" s="104"/>
      <c r="L31" s="104"/>
      <c r="M31" s="104"/>
      <c r="N31" s="154"/>
      <c r="O31" s="155"/>
      <c r="S31" s="104"/>
      <c r="T31" s="104"/>
      <c r="U31" s="104"/>
      <c r="V31" s="104"/>
      <c r="W31" s="183"/>
    </row>
    <row r="32" spans="2:34" ht="30" customHeight="1">
      <c r="B32" s="104"/>
      <c r="C32" s="182"/>
      <c r="I32" s="104"/>
      <c r="J32" s="104"/>
      <c r="K32" s="104"/>
      <c r="L32" s="104"/>
      <c r="M32" s="104"/>
      <c r="N32" s="154"/>
      <c r="O32" s="155"/>
      <c r="S32" s="104"/>
      <c r="T32" s="104"/>
      <c r="U32" s="104"/>
      <c r="V32" s="104"/>
      <c r="W32" s="183"/>
    </row>
    <row r="33" spans="2:24" ht="30" customHeight="1">
      <c r="B33" s="104"/>
      <c r="C33" s="182"/>
      <c r="N33" s="154"/>
      <c r="O33" s="155"/>
      <c r="V33" s="252"/>
      <c r="W33" s="183"/>
    </row>
    <row r="34" spans="2:24" ht="30" customHeight="1">
      <c r="C34" s="182"/>
      <c r="V34" s="151"/>
      <c r="W34" s="226"/>
    </row>
    <row r="35" spans="2:24" ht="30" customHeight="1" thickBot="1">
      <c r="C35" s="184"/>
      <c r="D35" s="185"/>
      <c r="E35" s="185"/>
      <c r="F35" s="185"/>
      <c r="G35" s="185"/>
      <c r="H35" s="185"/>
      <c r="I35" s="185"/>
      <c r="J35" s="185"/>
      <c r="K35" s="185"/>
      <c r="L35" s="185"/>
      <c r="M35" s="185"/>
      <c r="N35" s="185"/>
      <c r="O35" s="185"/>
      <c r="P35" s="185"/>
      <c r="Q35" s="185"/>
      <c r="R35" s="185"/>
      <c r="S35" s="185"/>
      <c r="T35" s="185"/>
      <c r="U35" s="185"/>
      <c r="V35" s="253"/>
      <c r="W35" s="227"/>
    </row>
    <row r="36" spans="2:24" ht="30" customHeight="1">
      <c r="V36" s="152"/>
    </row>
    <row r="37" spans="2:24" ht="30" customHeight="1">
      <c r="D37" s="106" t="s">
        <v>133</v>
      </c>
      <c r="E37" s="104"/>
      <c r="Q37" s="106" t="s">
        <v>134</v>
      </c>
      <c r="R37" s="104"/>
      <c r="S37" s="104"/>
    </row>
    <row r="38" spans="2:24" ht="30" customHeight="1">
      <c r="D38" s="149"/>
      <c r="E38" s="149"/>
      <c r="F38" s="245"/>
      <c r="G38" s="245"/>
      <c r="I38" s="148" t="s">
        <v>135</v>
      </c>
      <c r="J38" s="153"/>
      <c r="K38" s="150"/>
      <c r="Q38" s="149"/>
      <c r="R38" s="149"/>
      <c r="S38" s="153"/>
      <c r="U38" s="148" t="s">
        <v>135</v>
      </c>
      <c r="V38" s="153"/>
    </row>
    <row r="39" spans="2:24" ht="30" customHeight="1">
      <c r="D39" s="105" t="s">
        <v>70</v>
      </c>
      <c r="E39" s="104"/>
      <c r="Q39" s="105" t="s">
        <v>70</v>
      </c>
      <c r="S39" s="104"/>
    </row>
    <row r="40" spans="2:24">
      <c r="D40" s="105"/>
      <c r="E40" s="104"/>
      <c r="R40" s="104"/>
      <c r="V40" s="152"/>
    </row>
    <row r="41" spans="2:24" ht="20.100000000000001" customHeight="1">
      <c r="V41" s="151"/>
      <c r="W41" s="151"/>
      <c r="X41" s="151" t="s">
        <v>180</v>
      </c>
    </row>
    <row r="42" spans="2:24">
      <c r="V42" s="152"/>
      <c r="W42" s="152"/>
      <c r="X42" s="152" t="s">
        <v>136</v>
      </c>
    </row>
    <row r="43" spans="2:24">
      <c r="V43" s="152"/>
      <c r="W43" s="152"/>
      <c r="X43" s="152" t="s">
        <v>70</v>
      </c>
    </row>
  </sheetData>
  <mergeCells count="73">
    <mergeCell ref="W16:W17"/>
    <mergeCell ref="C16:C17"/>
    <mergeCell ref="D16:D17"/>
    <mergeCell ref="O16:O17"/>
    <mergeCell ref="E16:G16"/>
    <mergeCell ref="L16:N16"/>
    <mergeCell ref="P16:P17"/>
    <mergeCell ref="Q16:Q17"/>
    <mergeCell ref="R16:R17"/>
    <mergeCell ref="S16:T16"/>
    <mergeCell ref="U16:V16"/>
    <mergeCell ref="E12:F12"/>
    <mergeCell ref="C3:W3"/>
    <mergeCell ref="C4:W4"/>
    <mergeCell ref="C9:D9"/>
    <mergeCell ref="C10:D10"/>
    <mergeCell ref="C11:D11"/>
    <mergeCell ref="G8:H8"/>
    <mergeCell ref="G9:H9"/>
    <mergeCell ref="E8:F8"/>
    <mergeCell ref="G10:H10"/>
    <mergeCell ref="G11:H11"/>
    <mergeCell ref="V11:V13"/>
    <mergeCell ref="W11:W13"/>
    <mergeCell ref="C5:D5"/>
    <mergeCell ref="P8:Q8"/>
    <mergeCell ref="P12:Q12"/>
    <mergeCell ref="P13:Q13"/>
    <mergeCell ref="P9:Q9"/>
    <mergeCell ref="P10:Q10"/>
    <mergeCell ref="P11:Q11"/>
    <mergeCell ref="M9:O9"/>
    <mergeCell ref="M10:O10"/>
    <mergeCell ref="M11:O11"/>
    <mergeCell ref="K12:O12"/>
    <mergeCell ref="K13:O13"/>
    <mergeCell ref="K9:L9"/>
    <mergeCell ref="K10:L10"/>
    <mergeCell ref="K11:L11"/>
    <mergeCell ref="S8:T8"/>
    <mergeCell ref="S9:T9"/>
    <mergeCell ref="S10:T10"/>
    <mergeCell ref="S11:T11"/>
    <mergeCell ref="S12:T12"/>
    <mergeCell ref="L23:N23"/>
    <mergeCell ref="L24:N24"/>
    <mergeCell ref="I23:K23"/>
    <mergeCell ref="P14:Q14"/>
    <mergeCell ref="E23:F23"/>
    <mergeCell ref="G23:H23"/>
    <mergeCell ref="I16:K16"/>
    <mergeCell ref="E5:K5"/>
    <mergeCell ref="C6:D6"/>
    <mergeCell ref="E6:K6"/>
    <mergeCell ref="E24:F24"/>
    <mergeCell ref="G24:H24"/>
    <mergeCell ref="K8:O8"/>
    <mergeCell ref="G12:H12"/>
    <mergeCell ref="I8:J8"/>
    <mergeCell ref="I9:J9"/>
    <mergeCell ref="I10:J10"/>
    <mergeCell ref="I11:J11"/>
    <mergeCell ref="I12:J12"/>
    <mergeCell ref="C12:D12"/>
    <mergeCell ref="E9:F9"/>
    <mergeCell ref="E10:F10"/>
    <mergeCell ref="E11:F11"/>
    <mergeCell ref="T5:U5"/>
    <mergeCell ref="T6:U6"/>
    <mergeCell ref="M5:O5"/>
    <mergeCell ref="M6:O6"/>
    <mergeCell ref="P5:Q5"/>
    <mergeCell ref="P6:Q6"/>
  </mergeCells>
  <conditionalFormatting sqref="E12:J12">
    <cfRule type="expression" dxfId="24" priority="3">
      <formula>$Z$12=FALSE</formula>
    </cfRule>
  </conditionalFormatting>
  <conditionalFormatting sqref="Z12">
    <cfRule type="expression" dxfId="23" priority="1">
      <formula>$Z$12=FALSE</formula>
    </cfRule>
    <cfRule type="expression" dxfId="22" priority="2">
      <formula>$Z$12=TRUE</formula>
    </cfRule>
  </conditionalFormatting>
  <printOptions horizontalCentered="1"/>
  <pageMargins left="0.31496062992125984" right="0.31496062992125984" top="0.31496062992125984" bottom="0.31496062992125984" header="0.11811023622047245" footer="0.11811023622047245"/>
  <pageSetup paperSize="9" scale="3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print="0" autoFill="0" autoLine="0" autoPict="0" altText="">
                <anchor moveWithCells="1">
                  <from>
                    <xdr:col>25</xdr:col>
                    <xdr:colOff>171450</xdr:colOff>
                    <xdr:row>11</xdr:row>
                    <xdr:rowOff>38100</xdr:rowOff>
                  </from>
                  <to>
                    <xdr:col>25</xdr:col>
                    <xdr:colOff>371475</xdr:colOff>
                    <xdr:row>11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B1:AC40"/>
  <sheetViews>
    <sheetView showGridLines="0" zoomScale="60" zoomScaleNormal="60" zoomScalePageLayoutView="40" workbookViewId="0">
      <selection activeCell="F9" sqref="F9:G9"/>
    </sheetView>
  </sheetViews>
  <sheetFormatPr defaultColWidth="25.7109375" defaultRowHeight="20.25"/>
  <cols>
    <col min="1" max="1" width="5.7109375" style="102" customWidth="1"/>
    <col min="2" max="2" width="3.7109375" style="102" customWidth="1"/>
    <col min="3" max="3" width="10.7109375" style="102" customWidth="1"/>
    <col min="4" max="4" width="25.7109375" style="102" customWidth="1"/>
    <col min="5" max="5" width="15.7109375" style="102" customWidth="1"/>
    <col min="6" max="7" width="10.7109375" style="102" customWidth="1"/>
    <col min="8" max="8" width="15.7109375" style="102" customWidth="1"/>
    <col min="9" max="10" width="10.7109375" style="102" customWidth="1"/>
    <col min="11" max="11" width="15.7109375" style="102" customWidth="1"/>
    <col min="12" max="13" width="10.7109375" style="102" customWidth="1"/>
    <col min="14" max="15" width="25.7109375" style="102" customWidth="1"/>
    <col min="16" max="17" width="15.7109375" style="102" customWidth="1"/>
    <col min="18" max="21" width="25.7109375" style="102" customWidth="1"/>
    <col min="22" max="22" width="3.7109375" style="102" customWidth="1"/>
    <col min="23" max="23" width="5.7109375" style="102" customWidth="1"/>
    <col min="24" max="26" width="25.7109375" style="103"/>
    <col min="27" max="27" width="25.7109375" style="102"/>
    <col min="28" max="29" width="25.7109375" style="103"/>
    <col min="30" max="16384" width="25.7109375" style="102"/>
  </cols>
  <sheetData>
    <row r="1" spans="2:29" ht="30" customHeight="1"/>
    <row r="2" spans="2:29" ht="20.100000000000001" customHeight="1">
      <c r="B2" s="270"/>
      <c r="C2" s="105"/>
      <c r="D2" s="106"/>
      <c r="E2" s="106"/>
      <c r="F2" s="106"/>
      <c r="G2" s="106"/>
      <c r="H2" s="106"/>
      <c r="I2" s="270"/>
      <c r="J2" s="270"/>
      <c r="K2" s="106"/>
      <c r="L2" s="106"/>
      <c r="M2" s="106"/>
      <c r="N2" s="270"/>
      <c r="O2" s="270"/>
      <c r="P2" s="270"/>
      <c r="Q2" s="270"/>
      <c r="R2" s="270"/>
      <c r="S2" s="270"/>
      <c r="T2" s="270"/>
      <c r="U2" s="106"/>
      <c r="V2" s="270"/>
      <c r="AC2" s="107"/>
    </row>
    <row r="3" spans="2:29" ht="49.9" customHeight="1">
      <c r="B3" s="270"/>
      <c r="C3" s="316" t="s">
        <v>146</v>
      </c>
      <c r="D3" s="316"/>
      <c r="E3" s="316"/>
      <c r="F3" s="316"/>
      <c r="G3" s="316"/>
      <c r="H3" s="316"/>
      <c r="I3" s="316"/>
      <c r="J3" s="316"/>
      <c r="K3" s="316"/>
      <c r="L3" s="316"/>
      <c r="M3" s="316"/>
      <c r="N3" s="316"/>
      <c r="O3" s="316"/>
      <c r="P3" s="316"/>
      <c r="Q3" s="316"/>
      <c r="R3" s="316"/>
      <c r="S3" s="316"/>
      <c r="T3" s="316"/>
      <c r="U3" s="316"/>
      <c r="V3" s="270"/>
      <c r="AC3" s="107"/>
    </row>
    <row r="4" spans="2:29" ht="30" customHeight="1">
      <c r="B4" s="27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270"/>
      <c r="AC4" s="107"/>
    </row>
    <row r="5" spans="2:29" ht="30" customHeight="1">
      <c r="B5" s="270"/>
      <c r="C5" s="319" t="s">
        <v>82</v>
      </c>
      <c r="D5" s="319"/>
      <c r="E5" s="286"/>
      <c r="F5" s="286"/>
      <c r="G5" s="286"/>
      <c r="H5" s="286"/>
      <c r="I5" s="286"/>
      <c r="J5" s="286"/>
      <c r="K5" s="286"/>
      <c r="L5" s="110"/>
      <c r="M5" s="110"/>
      <c r="N5" s="271" t="s">
        <v>83</v>
      </c>
      <c r="O5" s="284"/>
      <c r="P5" s="284"/>
      <c r="Q5" s="284"/>
      <c r="R5" s="110"/>
      <c r="S5" s="273" t="s">
        <v>84</v>
      </c>
      <c r="T5" s="109"/>
      <c r="U5" s="110"/>
      <c r="V5" s="270"/>
      <c r="AC5" s="107"/>
    </row>
    <row r="6" spans="2:29" ht="30" customHeight="1">
      <c r="B6" s="270"/>
      <c r="C6" s="283" t="s">
        <v>85</v>
      </c>
      <c r="D6" s="283"/>
      <c r="E6" s="285"/>
      <c r="F6" s="285"/>
      <c r="G6" s="285"/>
      <c r="H6" s="285"/>
      <c r="I6" s="285"/>
      <c r="J6" s="285"/>
      <c r="K6" s="285"/>
      <c r="L6" s="110"/>
      <c r="M6" s="110"/>
      <c r="N6" s="271" t="s">
        <v>86</v>
      </c>
      <c r="O6" s="285"/>
      <c r="P6" s="285"/>
      <c r="Q6" s="285"/>
      <c r="R6" s="110"/>
      <c r="S6" s="273" t="s">
        <v>87</v>
      </c>
      <c r="T6" s="274"/>
      <c r="U6" s="110"/>
      <c r="V6" s="270"/>
      <c r="AC6" s="107"/>
    </row>
    <row r="7" spans="2:29" ht="30" customHeight="1" thickBot="1">
      <c r="B7" s="27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270"/>
      <c r="AC7" s="107"/>
    </row>
    <row r="8" spans="2:29" ht="30" customHeight="1">
      <c r="B8" s="270"/>
      <c r="C8" s="224"/>
      <c r="D8" s="177"/>
      <c r="E8" s="264"/>
      <c r="F8" s="290" t="s">
        <v>91</v>
      </c>
      <c r="G8" s="290"/>
      <c r="H8" s="290" t="s">
        <v>92</v>
      </c>
      <c r="I8" s="290"/>
      <c r="J8" s="290" t="s">
        <v>93</v>
      </c>
      <c r="K8" s="290"/>
      <c r="L8" s="290" t="s">
        <v>149</v>
      </c>
      <c r="M8" s="290"/>
      <c r="N8" s="276" t="s">
        <v>177</v>
      </c>
      <c r="O8" s="289" t="s">
        <v>94</v>
      </c>
      <c r="P8" s="290"/>
      <c r="Q8" s="290"/>
      <c r="R8" s="291"/>
      <c r="S8" s="320" t="s">
        <v>89</v>
      </c>
      <c r="T8" s="304"/>
      <c r="U8" s="181"/>
      <c r="V8" s="270"/>
      <c r="AC8" s="107"/>
    </row>
    <row r="9" spans="2:29" ht="30" customHeight="1">
      <c r="B9" s="270"/>
      <c r="C9" s="265"/>
      <c r="D9" s="330" t="s">
        <v>95</v>
      </c>
      <c r="E9" s="330"/>
      <c r="F9" s="334"/>
      <c r="G9" s="334"/>
      <c r="H9" s="329"/>
      <c r="I9" s="329"/>
      <c r="J9" s="329"/>
      <c r="K9" s="329"/>
      <c r="L9" s="329"/>
      <c r="M9" s="329"/>
      <c r="N9" s="268"/>
      <c r="O9" s="294" t="s">
        <v>96</v>
      </c>
      <c r="P9" s="330"/>
      <c r="Q9" s="334"/>
      <c r="R9" s="305"/>
      <c r="S9" s="294" t="s">
        <v>166</v>
      </c>
      <c r="T9" s="330"/>
      <c r="U9" s="266"/>
      <c r="V9" s="270"/>
      <c r="AC9" s="107"/>
    </row>
    <row r="10" spans="2:29" ht="30" customHeight="1">
      <c r="B10" s="270"/>
      <c r="C10" s="265"/>
      <c r="D10" s="330" t="s">
        <v>97</v>
      </c>
      <c r="E10" s="330"/>
      <c r="F10" s="334"/>
      <c r="G10" s="334"/>
      <c r="H10" s="329"/>
      <c r="I10" s="329"/>
      <c r="J10" s="329"/>
      <c r="K10" s="329"/>
      <c r="L10" s="329"/>
      <c r="M10" s="329"/>
      <c r="N10" s="268"/>
      <c r="O10" s="294" t="s">
        <v>98</v>
      </c>
      <c r="P10" s="330"/>
      <c r="Q10" s="335"/>
      <c r="R10" s="307"/>
      <c r="S10" s="294" t="s">
        <v>178</v>
      </c>
      <c r="T10" s="330"/>
      <c r="U10" s="266"/>
      <c r="V10" s="270"/>
      <c r="AC10" s="107"/>
    </row>
    <row r="11" spans="2:29" ht="30" customHeight="1">
      <c r="B11" s="270"/>
      <c r="C11" s="143"/>
      <c r="D11" s="267"/>
      <c r="E11" s="267"/>
      <c r="F11" s="267"/>
      <c r="G11" s="267"/>
      <c r="H11" s="267"/>
      <c r="I11" s="267"/>
      <c r="J11" s="267"/>
      <c r="K11" s="267"/>
      <c r="L11" s="267"/>
      <c r="M11" s="267"/>
      <c r="N11" s="226"/>
      <c r="O11" s="294" t="s">
        <v>100</v>
      </c>
      <c r="P11" s="330"/>
      <c r="Q11" s="336"/>
      <c r="R11" s="309"/>
      <c r="S11" s="294" t="s">
        <v>156</v>
      </c>
      <c r="T11" s="330"/>
      <c r="U11" s="275"/>
      <c r="V11" s="270"/>
      <c r="AC11" s="107"/>
    </row>
    <row r="12" spans="2:29" ht="30" customHeight="1">
      <c r="B12" s="270"/>
      <c r="C12" s="143"/>
      <c r="D12" s="267"/>
      <c r="E12" s="267"/>
      <c r="F12" s="267"/>
      <c r="G12" s="267"/>
      <c r="H12" s="267"/>
      <c r="I12" s="267"/>
      <c r="J12" s="267"/>
      <c r="K12" s="267"/>
      <c r="L12" s="267"/>
      <c r="M12" s="267"/>
      <c r="N12" s="226"/>
      <c r="O12" s="337" t="s">
        <v>116</v>
      </c>
      <c r="P12" s="338"/>
      <c r="Q12" s="338"/>
      <c r="R12" s="339"/>
      <c r="S12" s="294" t="s">
        <v>157</v>
      </c>
      <c r="T12" s="330"/>
      <c r="U12" s="275"/>
      <c r="V12" s="270"/>
      <c r="AC12" s="107"/>
    </row>
    <row r="13" spans="2:29" ht="30" customHeight="1" thickBot="1">
      <c r="B13" s="270"/>
      <c r="C13" s="144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227"/>
      <c r="O13" s="331"/>
      <c r="P13" s="332"/>
      <c r="Q13" s="332"/>
      <c r="R13" s="333"/>
      <c r="S13" s="298" t="s">
        <v>176</v>
      </c>
      <c r="T13" s="299"/>
      <c r="U13" s="269"/>
      <c r="V13" s="270"/>
      <c r="AC13" s="107"/>
    </row>
    <row r="14" spans="2:29" ht="30" customHeight="1" thickBot="1"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AC14" s="107"/>
    </row>
    <row r="15" spans="2:29" ht="30" customHeight="1">
      <c r="C15" s="342" t="s">
        <v>79</v>
      </c>
      <c r="D15" s="342" t="s">
        <v>91</v>
      </c>
      <c r="E15" s="344" t="s">
        <v>147</v>
      </c>
      <c r="F15" s="345"/>
      <c r="G15" s="346"/>
      <c r="H15" s="344" t="s">
        <v>150</v>
      </c>
      <c r="I15" s="345"/>
      <c r="J15" s="346"/>
      <c r="K15" s="344" t="s">
        <v>151</v>
      </c>
      <c r="L15" s="345"/>
      <c r="M15" s="346"/>
      <c r="N15" s="277" t="s">
        <v>145</v>
      </c>
      <c r="O15" s="277" t="s">
        <v>179</v>
      </c>
      <c r="P15" s="277" t="s">
        <v>143</v>
      </c>
      <c r="Q15" s="277" t="s">
        <v>142</v>
      </c>
      <c r="R15" s="344" t="s">
        <v>148</v>
      </c>
      <c r="S15" s="345"/>
      <c r="T15" s="346"/>
      <c r="U15" s="340" t="s">
        <v>91</v>
      </c>
    </row>
    <row r="16" spans="2:29" ht="30" customHeight="1" thickBot="1">
      <c r="C16" s="343"/>
      <c r="D16" s="343"/>
      <c r="E16" s="242" t="s">
        <v>153</v>
      </c>
      <c r="F16" s="243" t="s">
        <v>154</v>
      </c>
      <c r="G16" s="244" t="s">
        <v>155</v>
      </c>
      <c r="H16" s="242" t="s">
        <v>153</v>
      </c>
      <c r="I16" s="243" t="s">
        <v>154</v>
      </c>
      <c r="J16" s="244" t="s">
        <v>155</v>
      </c>
      <c r="K16" s="242" t="s">
        <v>153</v>
      </c>
      <c r="L16" s="243" t="s">
        <v>154</v>
      </c>
      <c r="M16" s="244" t="s">
        <v>155</v>
      </c>
      <c r="N16" s="278" t="s">
        <v>140</v>
      </c>
      <c r="O16" s="278" t="s">
        <v>140</v>
      </c>
      <c r="P16" s="278" t="s">
        <v>140</v>
      </c>
      <c r="Q16" s="278" t="s">
        <v>140</v>
      </c>
      <c r="R16" s="242" t="s">
        <v>92</v>
      </c>
      <c r="S16" s="243" t="s">
        <v>93</v>
      </c>
      <c r="T16" s="244" t="s">
        <v>149</v>
      </c>
      <c r="U16" s="341"/>
    </row>
    <row r="17" spans="3:29" ht="30" customHeight="1">
      <c r="C17" s="233"/>
      <c r="D17" s="233"/>
      <c r="E17" s="235"/>
      <c r="F17" s="231"/>
      <c r="G17" s="236"/>
      <c r="H17" s="235"/>
      <c r="I17" s="231"/>
      <c r="J17" s="236"/>
      <c r="K17" s="235"/>
      <c r="L17" s="231"/>
      <c r="M17" s="236"/>
      <c r="N17" s="237"/>
      <c r="O17" s="237"/>
      <c r="P17" s="237"/>
      <c r="Q17" s="237"/>
      <c r="R17" s="240"/>
      <c r="S17" s="232"/>
      <c r="T17" s="241"/>
      <c r="U17" s="238"/>
      <c r="AA17" s="103"/>
      <c r="AB17" s="103">
        <f t="shared" ref="AB17:AC17" si="0">S17-Y17</f>
        <v>0</v>
      </c>
      <c r="AC17" s="103">
        <f t="shared" si="0"/>
        <v>0</v>
      </c>
    </row>
    <row r="18" spans="3:29" ht="30" customHeight="1">
      <c r="C18" s="233"/>
      <c r="D18" s="233"/>
      <c r="E18" s="235"/>
      <c r="F18" s="231"/>
      <c r="G18" s="236"/>
      <c r="H18" s="235"/>
      <c r="I18" s="231"/>
      <c r="J18" s="236"/>
      <c r="K18" s="235"/>
      <c r="L18" s="231"/>
      <c r="M18" s="236"/>
      <c r="N18" s="237"/>
      <c r="O18" s="237"/>
      <c r="P18" s="237"/>
      <c r="Q18" s="237"/>
      <c r="R18" s="240"/>
      <c r="S18" s="232"/>
      <c r="T18" s="241"/>
      <c r="U18" s="238"/>
      <c r="AA18" s="103"/>
    </row>
    <row r="19" spans="3:29" ht="30" customHeight="1" thickBot="1">
      <c r="C19" s="234"/>
      <c r="D19" s="234"/>
      <c r="E19" s="228"/>
      <c r="F19" s="229"/>
      <c r="G19" s="230"/>
      <c r="H19" s="228"/>
      <c r="I19" s="229"/>
      <c r="J19" s="230"/>
      <c r="K19" s="228"/>
      <c r="L19" s="229"/>
      <c r="M19" s="230"/>
      <c r="N19" s="279"/>
      <c r="O19" s="279"/>
      <c r="P19" s="234"/>
      <c r="Q19" s="234"/>
      <c r="R19" s="228"/>
      <c r="S19" s="229"/>
      <c r="T19" s="230"/>
      <c r="U19" s="239"/>
    </row>
    <row r="20" spans="3:29" ht="30" customHeight="1" thickBot="1">
      <c r="O20" s="223"/>
    </row>
    <row r="21" spans="3:29" ht="30" customHeight="1">
      <c r="C21" s="186" t="s">
        <v>138</v>
      </c>
      <c r="D21" s="176"/>
      <c r="E21" s="176"/>
      <c r="F21" s="176"/>
      <c r="G21" s="176"/>
      <c r="H21" s="176"/>
      <c r="I21" s="177"/>
      <c r="J21" s="177"/>
      <c r="K21" s="177"/>
      <c r="L21" s="114"/>
      <c r="M21" s="114"/>
      <c r="N21" s="178"/>
      <c r="O21" s="179"/>
      <c r="P21" s="176"/>
      <c r="Q21" s="176"/>
      <c r="R21" s="176"/>
      <c r="S21" s="180"/>
      <c r="T21" s="177"/>
      <c r="U21" s="225"/>
      <c r="V21" s="103"/>
      <c r="W21" s="103"/>
    </row>
    <row r="22" spans="3:29" ht="30" customHeight="1">
      <c r="C22" s="182"/>
      <c r="I22" s="270"/>
      <c r="J22" s="270"/>
      <c r="K22" s="270"/>
      <c r="L22" s="270"/>
      <c r="M22" s="270"/>
      <c r="N22" s="154"/>
      <c r="O22" s="155"/>
      <c r="S22" s="270"/>
      <c r="T22" s="270"/>
      <c r="U22" s="272"/>
      <c r="V22" s="103"/>
      <c r="W22" s="103"/>
    </row>
    <row r="23" spans="3:29" ht="30" customHeight="1">
      <c r="C23" s="182"/>
      <c r="I23" s="270"/>
      <c r="J23" s="270"/>
      <c r="K23" s="270"/>
      <c r="L23" s="270"/>
      <c r="M23" s="270"/>
      <c r="N23" s="154"/>
      <c r="O23" s="155"/>
      <c r="S23" s="270"/>
      <c r="T23" s="270"/>
      <c r="U23" s="272"/>
      <c r="V23" s="103"/>
      <c r="W23" s="103"/>
    </row>
    <row r="24" spans="3:29" ht="30" customHeight="1">
      <c r="C24" s="182"/>
      <c r="I24" s="270"/>
      <c r="J24" s="270"/>
      <c r="K24" s="270"/>
      <c r="L24" s="270"/>
      <c r="M24" s="270"/>
      <c r="N24" s="154"/>
      <c r="O24" s="155"/>
      <c r="S24" s="270"/>
      <c r="T24" s="270"/>
      <c r="U24" s="272"/>
      <c r="V24" s="103"/>
      <c r="W24" s="103"/>
    </row>
    <row r="25" spans="3:29" ht="30" customHeight="1">
      <c r="C25" s="182"/>
      <c r="I25" s="270"/>
      <c r="J25" s="270"/>
      <c r="K25" s="270"/>
      <c r="L25" s="270"/>
      <c r="M25" s="270"/>
      <c r="N25" s="154"/>
      <c r="O25" s="155"/>
      <c r="S25" s="270"/>
      <c r="T25" s="270"/>
      <c r="U25" s="272"/>
      <c r="V25" s="103"/>
      <c r="W25" s="103"/>
    </row>
    <row r="26" spans="3:29" ht="30" customHeight="1">
      <c r="C26" s="182"/>
      <c r="I26" s="270"/>
      <c r="J26" s="270"/>
      <c r="K26" s="270"/>
      <c r="L26" s="270"/>
      <c r="M26" s="270"/>
      <c r="N26" s="154"/>
      <c r="O26" s="155"/>
      <c r="S26" s="270"/>
      <c r="T26" s="270"/>
      <c r="U26" s="272"/>
      <c r="V26" s="103"/>
      <c r="W26" s="103"/>
    </row>
    <row r="27" spans="3:29" ht="30" customHeight="1">
      <c r="C27" s="182"/>
      <c r="I27" s="270"/>
      <c r="J27" s="270"/>
      <c r="K27" s="270"/>
      <c r="L27" s="270"/>
      <c r="M27" s="270"/>
      <c r="N27" s="154"/>
      <c r="O27" s="155"/>
      <c r="S27" s="270"/>
      <c r="T27" s="270"/>
      <c r="U27" s="272"/>
      <c r="V27" s="103"/>
      <c r="W27" s="103"/>
    </row>
    <row r="28" spans="3:29" ht="30" customHeight="1">
      <c r="C28" s="182"/>
      <c r="I28" s="270"/>
      <c r="J28" s="270"/>
      <c r="K28" s="270"/>
      <c r="L28" s="270"/>
      <c r="M28" s="270"/>
      <c r="N28" s="154"/>
      <c r="O28" s="155"/>
      <c r="S28" s="270"/>
      <c r="T28" s="270"/>
      <c r="U28" s="272"/>
      <c r="V28" s="103"/>
      <c r="W28" s="103"/>
    </row>
    <row r="29" spans="3:29" ht="30" customHeight="1">
      <c r="C29" s="182"/>
      <c r="I29" s="270"/>
      <c r="J29" s="270"/>
      <c r="K29" s="270"/>
      <c r="L29" s="270"/>
      <c r="M29" s="270"/>
      <c r="N29" s="154"/>
      <c r="O29" s="155"/>
      <c r="S29" s="270"/>
      <c r="T29" s="270"/>
      <c r="U29" s="272"/>
      <c r="V29" s="103"/>
      <c r="W29" s="103"/>
    </row>
    <row r="30" spans="3:29" ht="30" customHeight="1">
      <c r="C30" s="182"/>
      <c r="N30" s="154"/>
      <c r="O30" s="155"/>
      <c r="U30" s="226"/>
      <c r="V30" s="103"/>
      <c r="W30" s="103"/>
    </row>
    <row r="31" spans="3:29" ht="30" customHeight="1">
      <c r="C31" s="182"/>
      <c r="U31" s="226"/>
      <c r="V31" s="103"/>
      <c r="W31" s="103"/>
    </row>
    <row r="32" spans="3:29" ht="30" customHeight="1" thickBot="1">
      <c r="C32" s="184"/>
      <c r="D32" s="185"/>
      <c r="E32" s="185"/>
      <c r="F32" s="185"/>
      <c r="G32" s="185"/>
      <c r="H32" s="185"/>
      <c r="I32" s="185"/>
      <c r="J32" s="185"/>
      <c r="K32" s="185"/>
      <c r="L32" s="185"/>
      <c r="M32" s="185"/>
      <c r="N32" s="185"/>
      <c r="O32" s="185"/>
      <c r="P32" s="185"/>
      <c r="Q32" s="185"/>
      <c r="R32" s="185"/>
      <c r="S32" s="185"/>
      <c r="T32" s="185"/>
      <c r="U32" s="227"/>
      <c r="V32" s="103"/>
      <c r="W32" s="103"/>
    </row>
    <row r="33" spans="3:23" ht="30" customHeight="1">
      <c r="C33" s="176"/>
      <c r="D33" s="176"/>
      <c r="E33" s="176"/>
      <c r="F33" s="176"/>
      <c r="G33" s="176"/>
      <c r="H33" s="176"/>
      <c r="I33" s="176"/>
      <c r="J33" s="176"/>
      <c r="K33" s="176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03"/>
    </row>
    <row r="34" spans="3:23" ht="30" customHeight="1">
      <c r="D34" s="106" t="s">
        <v>133</v>
      </c>
      <c r="E34" s="270"/>
      <c r="P34" s="106" t="s">
        <v>134</v>
      </c>
      <c r="Q34" s="270"/>
      <c r="V34" s="103"/>
    </row>
    <row r="35" spans="3:23" ht="30" customHeight="1">
      <c r="D35" s="149"/>
      <c r="E35" s="149"/>
      <c r="F35" s="245"/>
      <c r="H35" s="273" t="s">
        <v>135</v>
      </c>
      <c r="I35" s="153"/>
      <c r="J35" s="150"/>
      <c r="P35" s="149"/>
      <c r="Q35" s="149"/>
      <c r="R35" s="245"/>
      <c r="S35" s="273" t="s">
        <v>135</v>
      </c>
      <c r="T35" s="153"/>
      <c r="V35" s="103"/>
    </row>
    <row r="36" spans="3:23" ht="30" customHeight="1">
      <c r="D36" s="105" t="s">
        <v>70</v>
      </c>
      <c r="E36" s="270"/>
      <c r="P36" s="105" t="s">
        <v>70</v>
      </c>
      <c r="Q36" s="270"/>
      <c r="V36" s="103"/>
    </row>
    <row r="37" spans="3:23" ht="20.100000000000001" customHeight="1">
      <c r="D37" s="270"/>
      <c r="V37" s="103"/>
    </row>
    <row r="38" spans="3:23">
      <c r="V38" s="151" t="s">
        <v>180</v>
      </c>
      <c r="W38" s="151"/>
    </row>
    <row r="39" spans="3:23">
      <c r="V39" s="152" t="s">
        <v>136</v>
      </c>
      <c r="W39" s="152"/>
    </row>
    <row r="40" spans="3:23">
      <c r="V40" s="152" t="s">
        <v>70</v>
      </c>
      <c r="W40" s="152"/>
    </row>
  </sheetData>
  <mergeCells count="43">
    <mergeCell ref="U15:U16"/>
    <mergeCell ref="C15:C16"/>
    <mergeCell ref="D15:D16"/>
    <mergeCell ref="E15:G15"/>
    <mergeCell ref="H15:J15"/>
    <mergeCell ref="K15:M15"/>
    <mergeCell ref="R15:T15"/>
    <mergeCell ref="O11:P11"/>
    <mergeCell ref="Q11:R11"/>
    <mergeCell ref="S11:T11"/>
    <mergeCell ref="O12:R12"/>
    <mergeCell ref="S12:T12"/>
    <mergeCell ref="O13:R13"/>
    <mergeCell ref="S13:T13"/>
    <mergeCell ref="Q9:R9"/>
    <mergeCell ref="S9:T9"/>
    <mergeCell ref="D10:E10"/>
    <mergeCell ref="F10:G10"/>
    <mergeCell ref="H10:I10"/>
    <mergeCell ref="J10:K10"/>
    <mergeCell ref="L10:M10"/>
    <mergeCell ref="O10:P10"/>
    <mergeCell ref="Q10:R10"/>
    <mergeCell ref="S10:T10"/>
    <mergeCell ref="D9:E9"/>
    <mergeCell ref="F9:G9"/>
    <mergeCell ref="H9:I9"/>
    <mergeCell ref="J9:K9"/>
    <mergeCell ref="L9:M9"/>
    <mergeCell ref="O9:P9"/>
    <mergeCell ref="F8:G8"/>
    <mergeCell ref="H8:I8"/>
    <mergeCell ref="J8:K8"/>
    <mergeCell ref="L8:M8"/>
    <mergeCell ref="O8:R8"/>
    <mergeCell ref="S8:T8"/>
    <mergeCell ref="C3:U3"/>
    <mergeCell ref="C5:D5"/>
    <mergeCell ref="E5:K5"/>
    <mergeCell ref="O5:Q5"/>
    <mergeCell ref="C6:D6"/>
    <mergeCell ref="E6:K6"/>
    <mergeCell ref="O6:Q6"/>
  </mergeCells>
  <printOptions horizontalCentered="1"/>
  <pageMargins left="0.31496062992125984" right="0.31496062992125984" top="0.31496062992125984" bottom="0.31496062992125984" header="0.11811023622047245" footer="0.11811023622047245"/>
  <pageSetup paperSize="9" scale="4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57"/>
  <sheetViews>
    <sheetView showGridLines="0" zoomScale="60" zoomScaleNormal="60" workbookViewId="0">
      <selection activeCell="J21" sqref="J21"/>
    </sheetView>
  </sheetViews>
  <sheetFormatPr defaultColWidth="8.85546875" defaultRowHeight="30" customHeight="1"/>
  <cols>
    <col min="1" max="1" width="8.85546875" style="157"/>
    <col min="2" max="2" width="30.7109375" style="157" customWidth="1"/>
    <col min="3" max="3" width="20.7109375" style="197" customWidth="1"/>
    <col min="4" max="4" width="20.7109375" style="205" customWidth="1"/>
    <col min="5" max="5" width="20.7109375" style="213" customWidth="1"/>
    <col min="6" max="7" width="20.7109375" style="166" customWidth="1"/>
    <col min="8" max="8" width="20.7109375" style="164" customWidth="1"/>
    <col min="9" max="9" width="20.7109375" style="246" customWidth="1"/>
    <col min="10" max="11" width="20.7109375" style="104" customWidth="1"/>
    <col min="12" max="12" width="8.85546875" style="157"/>
    <col min="13" max="13" width="30.7109375" style="157" customWidth="1"/>
    <col min="14" max="14" width="15.7109375" style="197" customWidth="1"/>
    <col min="15" max="15" width="10.7109375" style="205" customWidth="1"/>
    <col min="16" max="16" width="10.7109375" style="213" customWidth="1"/>
    <col min="17" max="17" width="15.7109375" style="197" customWidth="1"/>
    <col min="18" max="18" width="10.7109375" style="205" customWidth="1"/>
    <col min="19" max="19" width="10.7109375" style="213" customWidth="1"/>
    <col min="20" max="21" width="20.7109375" style="166" customWidth="1"/>
    <col min="22" max="23" width="15.7109375" style="166" customWidth="1"/>
    <col min="24" max="16384" width="8.85546875" style="104"/>
  </cols>
  <sheetData>
    <row r="1" spans="1:23" ht="49.9" customHeight="1">
      <c r="A1" s="173" t="s">
        <v>78</v>
      </c>
      <c r="B1" s="104"/>
      <c r="C1" s="104"/>
      <c r="D1" s="104"/>
      <c r="E1" s="104"/>
      <c r="F1" s="104"/>
      <c r="G1" s="118"/>
      <c r="H1" s="156"/>
      <c r="I1" s="156"/>
      <c r="L1" s="174"/>
      <c r="M1" s="104"/>
      <c r="N1" s="192"/>
      <c r="O1" s="200"/>
      <c r="P1" s="208"/>
      <c r="Q1" s="192"/>
      <c r="R1" s="200"/>
      <c r="S1" s="208"/>
      <c r="T1" s="118"/>
      <c r="U1" s="118"/>
      <c r="V1" s="118"/>
      <c r="W1" s="118"/>
    </row>
    <row r="2" spans="1:23" ht="30" customHeight="1">
      <c r="A2" s="187" t="s">
        <v>79</v>
      </c>
      <c r="B2" s="187" t="s">
        <v>80</v>
      </c>
      <c r="C2" s="347" t="s">
        <v>81</v>
      </c>
      <c r="D2" s="347"/>
      <c r="E2" s="347"/>
      <c r="F2" s="347"/>
      <c r="G2" s="347"/>
      <c r="H2" s="156"/>
      <c r="I2" s="156"/>
      <c r="L2" s="104"/>
      <c r="M2" s="104"/>
      <c r="N2" s="193"/>
      <c r="O2" s="201"/>
      <c r="P2" s="209"/>
      <c r="Q2" s="193"/>
      <c r="R2" s="201"/>
      <c r="S2" s="209"/>
      <c r="T2" s="190"/>
      <c r="U2" s="190"/>
      <c r="V2" s="190"/>
      <c r="W2" s="190"/>
    </row>
    <row r="3" spans="1:23" ht="30" customHeight="1">
      <c r="A3" s="157">
        <v>1</v>
      </c>
      <c r="B3" s="216" t="s">
        <v>82</v>
      </c>
      <c r="C3" s="349"/>
      <c r="D3" s="349"/>
      <c r="E3" s="349"/>
      <c r="F3" s="349"/>
      <c r="G3" s="349"/>
      <c r="H3" s="156"/>
      <c r="I3" s="156"/>
      <c r="L3" s="104"/>
      <c r="M3" s="148"/>
      <c r="N3" s="193"/>
      <c r="O3" s="201"/>
      <c r="P3" s="209"/>
      <c r="Q3" s="193"/>
      <c r="R3" s="201"/>
      <c r="S3" s="209"/>
      <c r="T3" s="190"/>
      <c r="U3" s="190"/>
      <c r="V3" s="190"/>
      <c r="W3" s="190"/>
    </row>
    <row r="4" spans="1:23" ht="30" customHeight="1">
      <c r="A4" s="157">
        <v>2</v>
      </c>
      <c r="B4" s="216" t="s">
        <v>83</v>
      </c>
      <c r="C4" s="349"/>
      <c r="D4" s="349"/>
      <c r="E4" s="349"/>
      <c r="F4" s="349"/>
      <c r="G4" s="349"/>
      <c r="H4" s="156"/>
      <c r="I4" s="156"/>
      <c r="L4" s="104"/>
      <c r="M4" s="148"/>
      <c r="N4" s="193"/>
      <c r="O4" s="201"/>
      <c r="P4" s="209"/>
      <c r="Q4" s="193"/>
      <c r="R4" s="201"/>
      <c r="S4" s="209"/>
      <c r="T4" s="190"/>
      <c r="U4" s="190"/>
      <c r="V4" s="190"/>
      <c r="W4" s="190"/>
    </row>
    <row r="5" spans="1:23" ht="30" customHeight="1">
      <c r="A5" s="157">
        <v>3</v>
      </c>
      <c r="B5" s="216" t="s">
        <v>84</v>
      </c>
      <c r="C5" s="350"/>
      <c r="D5" s="350"/>
      <c r="E5" s="350"/>
      <c r="F5" s="350"/>
      <c r="G5" s="350"/>
      <c r="H5" s="156"/>
      <c r="I5" s="156"/>
      <c r="L5" s="104"/>
      <c r="M5" s="148"/>
      <c r="N5" s="193"/>
      <c r="O5" s="201"/>
      <c r="P5" s="209"/>
      <c r="Q5" s="193"/>
      <c r="R5" s="201"/>
      <c r="S5" s="209"/>
      <c r="T5" s="190"/>
      <c r="U5" s="190"/>
      <c r="V5" s="190"/>
      <c r="W5" s="190"/>
    </row>
    <row r="6" spans="1:23" ht="30" customHeight="1">
      <c r="A6" s="157">
        <v>4</v>
      </c>
      <c r="B6" s="216" t="s">
        <v>85</v>
      </c>
      <c r="C6" s="349"/>
      <c r="D6" s="349"/>
      <c r="E6" s="349"/>
      <c r="F6" s="349"/>
      <c r="G6" s="349"/>
      <c r="H6" s="156"/>
      <c r="I6" s="156"/>
      <c r="L6" s="104"/>
      <c r="M6" s="148"/>
      <c r="N6" s="193"/>
      <c r="O6" s="201"/>
      <c r="P6" s="209"/>
      <c r="Q6" s="193"/>
      <c r="R6" s="201"/>
      <c r="S6" s="209"/>
      <c r="T6" s="190"/>
      <c r="U6" s="190"/>
      <c r="V6" s="190"/>
      <c r="W6" s="190"/>
    </row>
    <row r="7" spans="1:23" ht="30" customHeight="1">
      <c r="A7" s="157">
        <v>5</v>
      </c>
      <c r="B7" s="216" t="s">
        <v>86</v>
      </c>
      <c r="C7" s="349"/>
      <c r="D7" s="349"/>
      <c r="E7" s="349"/>
      <c r="F7" s="349"/>
      <c r="G7" s="349"/>
      <c r="H7" s="156"/>
      <c r="I7" s="156"/>
      <c r="L7" s="104"/>
      <c r="M7" s="148"/>
      <c r="N7" s="193"/>
      <c r="O7" s="201"/>
      <c r="P7" s="209"/>
      <c r="Q7" s="193"/>
      <c r="R7" s="201"/>
      <c r="S7" s="209"/>
      <c r="T7" s="190"/>
      <c r="U7" s="190"/>
      <c r="V7" s="190"/>
      <c r="W7" s="190"/>
    </row>
    <row r="8" spans="1:23" ht="30" customHeight="1">
      <c r="A8" s="157">
        <v>6</v>
      </c>
      <c r="B8" s="216" t="s">
        <v>87</v>
      </c>
      <c r="C8" s="349"/>
      <c r="D8" s="349"/>
      <c r="E8" s="349"/>
      <c r="F8" s="349"/>
      <c r="G8" s="349"/>
      <c r="H8" s="156"/>
      <c r="I8" s="156"/>
      <c r="L8" s="104"/>
      <c r="M8" s="148"/>
      <c r="N8" s="193"/>
      <c r="O8" s="201"/>
      <c r="P8" s="209"/>
      <c r="Q8" s="193"/>
      <c r="R8" s="201"/>
      <c r="S8" s="209"/>
      <c r="T8" s="190"/>
      <c r="U8" s="190"/>
      <c r="V8" s="190"/>
      <c r="W8" s="190"/>
    </row>
    <row r="9" spans="1:23" ht="30" customHeight="1">
      <c r="A9" s="104"/>
      <c r="B9" s="104"/>
      <c r="C9" s="104"/>
      <c r="D9" s="104"/>
      <c r="E9" s="104"/>
      <c r="F9" s="104"/>
      <c r="G9" s="118"/>
      <c r="H9" s="156"/>
      <c r="I9" s="156"/>
      <c r="L9" s="104"/>
      <c r="M9" s="104"/>
      <c r="N9" s="192"/>
      <c r="O9" s="200"/>
      <c r="P9" s="208"/>
      <c r="Q9" s="192"/>
      <c r="R9" s="200"/>
      <c r="S9" s="208"/>
      <c r="T9" s="118"/>
      <c r="U9" s="118"/>
      <c r="V9" s="118"/>
      <c r="W9" s="118"/>
    </row>
    <row r="10" spans="1:23" s="158" customFormat="1" ht="49.9" customHeight="1">
      <c r="A10" s="173" t="s">
        <v>88</v>
      </c>
      <c r="G10" s="159"/>
      <c r="H10" s="160"/>
      <c r="I10" s="160"/>
      <c r="L10" s="174"/>
      <c r="N10" s="194"/>
      <c r="O10" s="202"/>
      <c r="P10" s="210"/>
      <c r="Q10" s="194"/>
      <c r="R10" s="202"/>
      <c r="S10" s="210"/>
      <c r="T10" s="159"/>
      <c r="U10" s="159"/>
      <c r="V10" s="159"/>
      <c r="W10" s="159"/>
    </row>
    <row r="11" spans="1:23" ht="30" customHeight="1">
      <c r="A11" s="187" t="s">
        <v>79</v>
      </c>
      <c r="B11" s="187" t="s">
        <v>80</v>
      </c>
      <c r="C11" s="187" t="s">
        <v>81</v>
      </c>
      <c r="D11" s="104"/>
      <c r="E11" s="104"/>
      <c r="F11" s="104"/>
      <c r="G11" s="118"/>
      <c r="H11" s="156"/>
      <c r="I11" s="156"/>
      <c r="L11" s="104"/>
      <c r="M11" s="104"/>
      <c r="N11" s="192"/>
      <c r="O11" s="200"/>
      <c r="P11" s="208"/>
      <c r="Q11" s="192"/>
      <c r="R11" s="200"/>
      <c r="S11" s="208"/>
      <c r="T11" s="118"/>
      <c r="U11" s="118"/>
      <c r="V11" s="118"/>
      <c r="W11" s="118"/>
    </row>
    <row r="12" spans="1:23" ht="30" customHeight="1">
      <c r="A12" s="157">
        <v>1</v>
      </c>
      <c r="B12" s="216" t="s">
        <v>89</v>
      </c>
      <c r="C12" s="157"/>
      <c r="D12" s="104"/>
      <c r="E12" s="104"/>
      <c r="F12" s="104"/>
      <c r="G12" s="118"/>
      <c r="H12" s="156"/>
      <c r="I12" s="156"/>
      <c r="L12" s="104"/>
      <c r="M12" s="148"/>
      <c r="N12" s="192"/>
      <c r="O12" s="200"/>
      <c r="P12" s="208"/>
      <c r="Q12" s="192"/>
      <c r="R12" s="200"/>
      <c r="S12" s="208"/>
      <c r="T12" s="118"/>
      <c r="U12" s="118"/>
      <c r="V12" s="118"/>
      <c r="W12" s="118"/>
    </row>
    <row r="13" spans="1:23" ht="30" customHeight="1">
      <c r="A13" s="104"/>
      <c r="B13" s="104"/>
      <c r="C13" s="104"/>
      <c r="D13" s="104"/>
      <c r="E13" s="104"/>
      <c r="F13" s="104"/>
      <c r="G13" s="118"/>
      <c r="H13" s="156"/>
      <c r="I13" s="156"/>
      <c r="L13" s="104"/>
      <c r="M13" s="104"/>
      <c r="N13" s="192"/>
      <c r="O13" s="200"/>
      <c r="P13" s="208"/>
      <c r="Q13" s="192"/>
      <c r="R13" s="200"/>
      <c r="S13" s="208"/>
      <c r="T13" s="118"/>
      <c r="U13" s="118"/>
      <c r="V13" s="118"/>
      <c r="W13" s="118"/>
    </row>
    <row r="14" spans="1:23" s="158" customFormat="1" ht="49.9" customHeight="1">
      <c r="A14" s="173" t="s">
        <v>90</v>
      </c>
      <c r="B14" s="174"/>
      <c r="G14" s="118"/>
      <c r="H14" s="160"/>
      <c r="I14" s="156"/>
      <c r="L14" s="174"/>
      <c r="M14" s="174"/>
      <c r="N14" s="194"/>
      <c r="O14" s="202"/>
      <c r="P14" s="210"/>
      <c r="Q14" s="194"/>
      <c r="R14" s="202"/>
      <c r="S14" s="210"/>
      <c r="T14" s="159"/>
      <c r="U14" s="159"/>
      <c r="V14" s="159"/>
      <c r="W14" s="159"/>
    </row>
    <row r="15" spans="1:23" ht="30" customHeight="1">
      <c r="A15" s="187" t="s">
        <v>79</v>
      </c>
      <c r="B15" s="187" t="s">
        <v>80</v>
      </c>
      <c r="C15" s="187" t="s">
        <v>91</v>
      </c>
      <c r="D15" s="187" t="s">
        <v>92</v>
      </c>
      <c r="E15" s="187" t="s">
        <v>93</v>
      </c>
      <c r="F15" s="257" t="s">
        <v>149</v>
      </c>
      <c r="G15" s="263" t="s">
        <v>177</v>
      </c>
      <c r="H15" s="160"/>
      <c r="I15" s="156"/>
      <c r="L15" s="348" t="s">
        <v>94</v>
      </c>
      <c r="M15" s="348"/>
      <c r="N15" s="348"/>
      <c r="O15" s="348"/>
      <c r="P15" s="348"/>
      <c r="Q15" s="192"/>
      <c r="R15" s="200"/>
      <c r="S15" s="208"/>
      <c r="T15" s="118"/>
      <c r="U15" s="118"/>
      <c r="V15" s="118"/>
      <c r="W15" s="118"/>
    </row>
    <row r="16" spans="1:23" ht="30" customHeight="1">
      <c r="A16" s="157">
        <v>1</v>
      </c>
      <c r="B16" s="216" t="s">
        <v>95</v>
      </c>
      <c r="C16" s="157"/>
      <c r="D16" s="166"/>
      <c r="E16" s="166"/>
      <c r="H16" s="160"/>
      <c r="I16" s="156"/>
      <c r="L16" s="354" t="s">
        <v>96</v>
      </c>
      <c r="M16" s="354"/>
      <c r="N16" s="352"/>
      <c r="O16" s="352"/>
      <c r="P16" s="352"/>
      <c r="Q16" s="192"/>
      <c r="R16" s="200"/>
      <c r="S16" s="208"/>
      <c r="T16" s="118"/>
      <c r="U16" s="118"/>
      <c r="V16" s="118"/>
      <c r="W16" s="118"/>
    </row>
    <row r="17" spans="1:23" ht="30" customHeight="1">
      <c r="A17" s="157">
        <v>2</v>
      </c>
      <c r="B17" s="216" t="s">
        <v>97</v>
      </c>
      <c r="C17" s="157"/>
      <c r="D17" s="166"/>
      <c r="E17" s="166"/>
      <c r="H17" s="160"/>
      <c r="I17" s="156"/>
      <c r="L17" s="354" t="s">
        <v>98</v>
      </c>
      <c r="M17" s="354"/>
      <c r="N17" s="351" t="str">
        <f>IF($N$16="","",IF(N16="UTM Zone 47N - WGS 1984",6378137,IF(N16="UTM Zone 47N - Indian 1975",6377276.34518,0)))</f>
        <v/>
      </c>
      <c r="O17" s="351"/>
      <c r="P17" s="351"/>
      <c r="Q17" s="192"/>
      <c r="R17" s="200"/>
      <c r="S17" s="208"/>
      <c r="T17" s="118"/>
      <c r="U17" s="118"/>
      <c r="V17" s="118"/>
      <c r="W17" s="118"/>
    </row>
    <row r="18" spans="1:23" ht="30" customHeight="1">
      <c r="A18" s="157">
        <v>3</v>
      </c>
      <c r="B18" s="216" t="s">
        <v>99</v>
      </c>
      <c r="C18" s="157"/>
      <c r="D18" s="166"/>
      <c r="E18" s="166"/>
      <c r="H18" s="160"/>
      <c r="I18" s="156"/>
      <c r="L18" s="354" t="s">
        <v>100</v>
      </c>
      <c r="M18" s="354"/>
      <c r="N18" s="352" t="str">
        <f>IF($N$16="","",IF(N16="UTM Zone 47N - WGS 1984",298.25722356301,IF(N16="UTM Zone 47N - Indian 1975",300.801725401855,0)))</f>
        <v/>
      </c>
      <c r="O18" s="352"/>
      <c r="P18" s="352"/>
      <c r="Q18" s="192"/>
      <c r="R18" s="200"/>
      <c r="S18" s="208"/>
      <c r="T18" s="118"/>
      <c r="U18" s="118"/>
      <c r="V18" s="118"/>
      <c r="W18" s="118"/>
    </row>
    <row r="19" spans="1:23" ht="30" customHeight="1">
      <c r="A19" s="157">
        <v>4</v>
      </c>
      <c r="B19" s="216" t="s">
        <v>101</v>
      </c>
      <c r="C19" s="157"/>
      <c r="D19" s="166"/>
      <c r="E19" s="166"/>
      <c r="H19" s="160"/>
      <c r="I19" s="156"/>
      <c r="L19" s="355" t="s">
        <v>102</v>
      </c>
      <c r="M19" s="355"/>
      <c r="N19" s="353" t="str">
        <f>IF($N$16="","",IF(N16="Local",1,LineGSF(PointGSF(N17,N18,D17,E17),PointGSF(N17,N18,D18,E18),PointGSF(N17,N18,AVERAGE(D17:D18),AVERAGE(E17:E18)))))</f>
        <v/>
      </c>
      <c r="O19" s="353"/>
      <c r="P19" s="353"/>
      <c r="Q19" s="192"/>
      <c r="R19" s="200"/>
      <c r="S19" s="208"/>
      <c r="T19" s="118"/>
      <c r="U19" s="118"/>
      <c r="V19" s="118"/>
      <c r="W19" s="118"/>
    </row>
    <row r="20" spans="1:23" ht="30" customHeight="1">
      <c r="A20" s="217"/>
      <c r="B20" s="104"/>
      <c r="C20" s="104"/>
      <c r="D20" s="104"/>
      <c r="E20" s="104"/>
      <c r="F20" s="158"/>
      <c r="G20" s="118"/>
      <c r="H20" s="160"/>
      <c r="I20" s="156"/>
      <c r="L20" s="104"/>
      <c r="M20" s="104"/>
      <c r="N20" s="192"/>
      <c r="O20" s="200"/>
      <c r="P20" s="208"/>
      <c r="Q20" s="192"/>
      <c r="R20" s="200"/>
      <c r="S20" s="208"/>
      <c r="T20" s="118"/>
      <c r="U20" s="118"/>
      <c r="V20" s="118"/>
      <c r="W20" s="118"/>
    </row>
    <row r="21" spans="1:23" s="158" customFormat="1" ht="49.9" customHeight="1">
      <c r="A21" s="173" t="s">
        <v>103</v>
      </c>
      <c r="B21" s="174"/>
      <c r="C21" s="194"/>
      <c r="D21" s="202"/>
      <c r="E21" s="210"/>
      <c r="F21" s="159"/>
      <c r="G21" s="159"/>
      <c r="H21" s="160"/>
      <c r="I21" s="160"/>
      <c r="J21" s="160"/>
      <c r="K21" s="160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</row>
    <row r="22" spans="1:23" s="158" customFormat="1" ht="30" customHeight="1">
      <c r="A22" s="188" t="s">
        <v>139</v>
      </c>
      <c r="B22" s="161"/>
      <c r="C22" s="195"/>
      <c r="D22" s="203"/>
      <c r="E22" s="211"/>
      <c r="F22" s="162"/>
      <c r="G22" s="162"/>
      <c r="H22" s="163"/>
      <c r="I22" s="163"/>
      <c r="L22" s="188" t="s">
        <v>141</v>
      </c>
      <c r="M22" s="161"/>
      <c r="N22" s="195"/>
      <c r="O22" s="203"/>
      <c r="P22" s="211"/>
      <c r="Q22" s="195"/>
      <c r="R22" s="203"/>
      <c r="S22" s="211"/>
      <c r="T22" s="162"/>
      <c r="U22" s="162"/>
      <c r="V22" s="162"/>
      <c r="W22" s="162"/>
    </row>
    <row r="23" spans="1:23" ht="30" customHeight="1">
      <c r="A23" s="347" t="s">
        <v>79</v>
      </c>
      <c r="B23" s="347" t="s">
        <v>91</v>
      </c>
      <c r="C23" s="348" t="s">
        <v>54</v>
      </c>
      <c r="D23" s="348"/>
      <c r="E23" s="348"/>
      <c r="F23" s="348" t="s">
        <v>152</v>
      </c>
      <c r="G23" s="348"/>
      <c r="H23" s="348"/>
      <c r="I23" s="348"/>
      <c r="L23" s="347" t="s">
        <v>79</v>
      </c>
      <c r="M23" s="347" t="s">
        <v>91</v>
      </c>
      <c r="N23" s="348" t="s">
        <v>54</v>
      </c>
      <c r="O23" s="348"/>
      <c r="P23" s="348"/>
      <c r="Q23" s="348" t="s">
        <v>150</v>
      </c>
      <c r="R23" s="348"/>
      <c r="S23" s="348"/>
      <c r="T23" s="175" t="s">
        <v>145</v>
      </c>
      <c r="U23" s="175" t="s">
        <v>144</v>
      </c>
      <c r="V23" s="175" t="s">
        <v>143</v>
      </c>
      <c r="W23" s="175" t="s">
        <v>142</v>
      </c>
    </row>
    <row r="24" spans="1:23" ht="30" customHeight="1">
      <c r="A24" s="347"/>
      <c r="B24" s="347"/>
      <c r="C24" s="196" t="s">
        <v>106</v>
      </c>
      <c r="D24" s="204" t="s">
        <v>107</v>
      </c>
      <c r="E24" s="212" t="s">
        <v>108</v>
      </c>
      <c r="F24" s="189" t="s">
        <v>12</v>
      </c>
      <c r="G24" s="189" t="s">
        <v>59</v>
      </c>
      <c r="H24" s="189" t="s">
        <v>165</v>
      </c>
      <c r="I24" s="189" t="s">
        <v>109</v>
      </c>
      <c r="L24" s="347"/>
      <c r="M24" s="347"/>
      <c r="N24" s="196" t="s">
        <v>106</v>
      </c>
      <c r="O24" s="204" t="s">
        <v>107</v>
      </c>
      <c r="P24" s="212" t="s">
        <v>108</v>
      </c>
      <c r="Q24" s="187" t="s">
        <v>106</v>
      </c>
      <c r="R24" s="187" t="s">
        <v>107</v>
      </c>
      <c r="S24" s="165" t="s">
        <v>108</v>
      </c>
      <c r="T24" s="191" t="s">
        <v>140</v>
      </c>
      <c r="U24" s="191" t="s">
        <v>140</v>
      </c>
      <c r="V24" s="191" t="s">
        <v>140</v>
      </c>
      <c r="W24" s="191" t="s">
        <v>140</v>
      </c>
    </row>
    <row r="48" spans="1:23" ht="30" customHeight="1">
      <c r="A48" s="167"/>
      <c r="B48" s="167"/>
      <c r="C48" s="198"/>
      <c r="D48" s="206"/>
      <c r="E48" s="214"/>
      <c r="F48" s="168"/>
      <c r="G48" s="168"/>
      <c r="H48" s="169"/>
      <c r="I48" s="247"/>
      <c r="L48" s="167"/>
      <c r="M48" s="167"/>
      <c r="N48" s="198"/>
      <c r="O48" s="206"/>
      <c r="P48" s="214"/>
      <c r="Q48" s="198"/>
      <c r="R48" s="206"/>
      <c r="S48" s="214"/>
      <c r="T48" s="168"/>
      <c r="U48" s="168"/>
      <c r="V48" s="168"/>
      <c r="W48" s="168"/>
    </row>
    <row r="50" spans="1:23" s="118" customFormat="1" ht="30" customHeight="1">
      <c r="A50" s="157"/>
      <c r="B50" s="157"/>
      <c r="C50" s="197"/>
      <c r="D50" s="205"/>
      <c r="E50" s="213"/>
      <c r="F50" s="166"/>
      <c r="G50" s="166"/>
      <c r="H50" s="164"/>
      <c r="I50" s="246"/>
      <c r="J50" s="104"/>
      <c r="K50" s="104"/>
      <c r="L50" s="157"/>
      <c r="M50" s="157"/>
      <c r="N50" s="197"/>
      <c r="O50" s="205"/>
      <c r="P50" s="213"/>
      <c r="Q50" s="197"/>
      <c r="R50" s="205"/>
      <c r="S50" s="213"/>
      <c r="T50" s="166"/>
      <c r="U50" s="166"/>
      <c r="V50" s="166"/>
      <c r="W50" s="166"/>
    </row>
    <row r="51" spans="1:23" s="118" customFormat="1" ht="30" customHeight="1">
      <c r="A51" s="157"/>
      <c r="B51" s="157"/>
      <c r="C51" s="197"/>
      <c r="D51" s="205"/>
      <c r="E51" s="213"/>
      <c r="F51" s="166"/>
      <c r="G51" s="166"/>
      <c r="H51" s="164"/>
      <c r="I51" s="246"/>
      <c r="J51" s="104"/>
      <c r="K51" s="104"/>
      <c r="L51" s="157"/>
      <c r="M51" s="157"/>
      <c r="N51" s="197"/>
      <c r="O51" s="205"/>
      <c r="P51" s="213"/>
      <c r="Q51" s="197"/>
      <c r="R51" s="205"/>
      <c r="S51" s="213"/>
      <c r="T51" s="166"/>
      <c r="U51" s="166"/>
      <c r="V51" s="166"/>
      <c r="W51" s="166"/>
    </row>
    <row r="52" spans="1:23" s="118" customFormat="1" ht="30" customHeight="1">
      <c r="A52" s="157"/>
      <c r="B52" s="157"/>
      <c r="C52" s="197"/>
      <c r="D52" s="205"/>
      <c r="E52" s="213"/>
      <c r="F52" s="166"/>
      <c r="G52" s="166"/>
      <c r="H52" s="164"/>
      <c r="I52" s="246"/>
      <c r="J52" s="104"/>
      <c r="K52" s="104"/>
      <c r="L52" s="157"/>
      <c r="M52" s="157"/>
      <c r="N52" s="197"/>
      <c r="O52" s="205"/>
      <c r="P52" s="213"/>
      <c r="Q52" s="197"/>
      <c r="R52" s="205"/>
      <c r="S52" s="213"/>
      <c r="T52" s="166"/>
      <c r="U52" s="166"/>
      <c r="V52" s="166"/>
      <c r="W52" s="166"/>
    </row>
    <row r="53" spans="1:23" s="118" customFormat="1" ht="30" customHeight="1">
      <c r="A53" s="157"/>
      <c r="B53" s="157"/>
      <c r="C53" s="197"/>
      <c r="D53" s="205"/>
      <c r="E53" s="213"/>
      <c r="F53" s="166"/>
      <c r="G53" s="166"/>
      <c r="H53" s="164"/>
      <c r="I53" s="246"/>
      <c r="J53" s="104"/>
      <c r="K53" s="104"/>
      <c r="L53" s="157"/>
      <c r="M53" s="157"/>
      <c r="N53" s="197"/>
      <c r="O53" s="205"/>
      <c r="P53" s="213"/>
      <c r="Q53" s="197"/>
      <c r="R53" s="205"/>
      <c r="S53" s="213"/>
      <c r="T53" s="166"/>
      <c r="U53" s="166"/>
      <c r="V53" s="166"/>
      <c r="W53" s="166"/>
    </row>
    <row r="54" spans="1:23" s="118" customFormat="1" ht="30" customHeight="1">
      <c r="A54" s="157"/>
      <c r="B54" s="157"/>
      <c r="C54" s="197"/>
      <c r="D54" s="205"/>
      <c r="E54" s="213"/>
      <c r="F54" s="166"/>
      <c r="G54" s="166"/>
      <c r="H54" s="164"/>
      <c r="I54" s="246"/>
      <c r="J54" s="104"/>
      <c r="K54" s="104"/>
      <c r="L54" s="157"/>
      <c r="M54" s="157"/>
      <c r="N54" s="197"/>
      <c r="O54" s="205"/>
      <c r="P54" s="213"/>
      <c r="Q54" s="197"/>
      <c r="R54" s="205"/>
      <c r="S54" s="213"/>
      <c r="T54" s="166"/>
      <c r="U54" s="166"/>
      <c r="V54" s="166"/>
      <c r="W54" s="166"/>
    </row>
    <row r="55" spans="1:23" s="118" customFormat="1" ht="30" customHeight="1">
      <c r="A55" s="157"/>
      <c r="B55" s="157"/>
      <c r="C55" s="197"/>
      <c r="D55" s="205"/>
      <c r="E55" s="213"/>
      <c r="F55" s="166"/>
      <c r="G55" s="166"/>
      <c r="H55" s="164"/>
      <c r="I55" s="246"/>
      <c r="J55" s="104"/>
      <c r="K55" s="104"/>
      <c r="L55" s="157"/>
      <c r="M55" s="157"/>
      <c r="N55" s="197"/>
      <c r="O55" s="205"/>
      <c r="P55" s="213"/>
      <c r="Q55" s="197"/>
      <c r="R55" s="205"/>
      <c r="S55" s="213"/>
      <c r="T55" s="166"/>
      <c r="U55" s="166"/>
      <c r="V55" s="166"/>
      <c r="W55" s="166"/>
    </row>
    <row r="56" spans="1:23" s="118" customFormat="1" ht="30" customHeight="1">
      <c r="A56" s="157"/>
      <c r="B56" s="157"/>
      <c r="C56" s="197"/>
      <c r="D56" s="205"/>
      <c r="E56" s="213"/>
      <c r="F56" s="166"/>
      <c r="G56" s="166"/>
      <c r="H56" s="164"/>
      <c r="I56" s="246"/>
      <c r="J56" s="104"/>
      <c r="K56" s="104"/>
      <c r="L56" s="157"/>
      <c r="M56" s="157"/>
      <c r="N56" s="197"/>
      <c r="O56" s="205"/>
      <c r="P56" s="213"/>
      <c r="Q56" s="197"/>
      <c r="R56" s="205"/>
      <c r="S56" s="213"/>
      <c r="T56" s="166"/>
      <c r="U56" s="166"/>
      <c r="V56" s="166"/>
      <c r="W56" s="166"/>
    </row>
    <row r="57" spans="1:23" ht="30" customHeight="1">
      <c r="A57" s="170"/>
      <c r="B57" s="170"/>
      <c r="C57" s="199"/>
      <c r="D57" s="207"/>
      <c r="E57" s="215"/>
      <c r="F57" s="171"/>
      <c r="G57" s="171"/>
      <c r="H57" s="172"/>
      <c r="I57" s="248"/>
      <c r="L57" s="170"/>
      <c r="M57" s="170"/>
      <c r="N57" s="199"/>
      <c r="O57" s="207"/>
      <c r="P57" s="215"/>
      <c r="Q57" s="199"/>
      <c r="R57" s="207"/>
      <c r="S57" s="215"/>
      <c r="T57" s="171"/>
      <c r="U57" s="171"/>
      <c r="V57" s="171"/>
      <c r="W57" s="171"/>
    </row>
  </sheetData>
  <mergeCells count="24">
    <mergeCell ref="N17:P17"/>
    <mergeCell ref="N18:P18"/>
    <mergeCell ref="N19:P19"/>
    <mergeCell ref="L15:P15"/>
    <mergeCell ref="L16:M16"/>
    <mergeCell ref="L17:M17"/>
    <mergeCell ref="L18:M18"/>
    <mergeCell ref="L19:M19"/>
    <mergeCell ref="N16:P16"/>
    <mergeCell ref="C8:G8"/>
    <mergeCell ref="C2:G2"/>
    <mergeCell ref="C3:G3"/>
    <mergeCell ref="C4:G4"/>
    <mergeCell ref="C5:G5"/>
    <mergeCell ref="C6:G6"/>
    <mergeCell ref="C7:G7"/>
    <mergeCell ref="M23:M24"/>
    <mergeCell ref="N23:P23"/>
    <mergeCell ref="Q23:S23"/>
    <mergeCell ref="A23:A24"/>
    <mergeCell ref="B23:B24"/>
    <mergeCell ref="C23:E23"/>
    <mergeCell ref="F23:I23"/>
    <mergeCell ref="L23:L24"/>
  </mergeCells>
  <dataValidations count="1">
    <dataValidation type="list" showInputMessage="1" showErrorMessage="1" sqref="N16">
      <formula1>"UTM Zone 47N - WGS 1984,UTM Zone 47N - Indian 1975,Local"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K87"/>
  <sheetViews>
    <sheetView view="pageBreakPreview" topLeftCell="C1" zoomScaleNormal="100" zoomScaleSheetLayoutView="100" workbookViewId="0">
      <selection activeCell="BI5" sqref="BI5"/>
    </sheetView>
  </sheetViews>
  <sheetFormatPr defaultColWidth="9.140625" defaultRowHeight="11.25"/>
  <cols>
    <col min="1" max="1" width="11.85546875" style="28" bestFit="1" customWidth="1"/>
    <col min="2" max="2" width="8.5703125" style="46" bestFit="1" customWidth="1"/>
    <col min="3" max="3" width="7.7109375" style="47" customWidth="1"/>
    <col min="4" max="4" width="10.28515625" style="35" hidden="1" customWidth="1"/>
    <col min="5" max="5" width="12" style="48" hidden="1" customWidth="1"/>
    <col min="6" max="6" width="3.5703125" style="35" hidden="1" customWidth="1"/>
    <col min="7" max="7" width="2.7109375" style="49" hidden="1" customWidth="1"/>
    <col min="8" max="8" width="4.85546875" style="50" hidden="1" customWidth="1"/>
    <col min="9" max="9" width="3" style="57" hidden="1" customWidth="1"/>
    <col min="10" max="10" width="4.42578125" style="57" hidden="1" customWidth="1"/>
    <col min="11" max="11" width="4.5703125" style="84" hidden="1" customWidth="1"/>
    <col min="12" max="12" width="4" style="85" hidden="1" customWidth="1"/>
    <col min="13" max="13" width="5.5703125" style="86" hidden="1" customWidth="1"/>
    <col min="14" max="14" width="9.85546875" style="32" hidden="1" customWidth="1"/>
    <col min="15" max="15" width="9.7109375" style="32" hidden="1" customWidth="1"/>
    <col min="16" max="16" width="5.7109375" style="32" hidden="1" customWidth="1"/>
    <col min="17" max="17" width="9.85546875" style="32" hidden="1" customWidth="1"/>
    <col min="18" max="18" width="5.7109375" style="32" hidden="1" customWidth="1"/>
    <col min="19" max="19" width="9.85546875" style="32" hidden="1" customWidth="1"/>
    <col min="20" max="20" width="5.7109375" style="32" hidden="1" customWidth="1"/>
    <col min="21" max="22" width="9.85546875" style="32" hidden="1" customWidth="1"/>
    <col min="23" max="23" width="7" style="32" hidden="1" customWidth="1"/>
    <col min="24" max="24" width="3.5703125" style="35" customWidth="1"/>
    <col min="25" max="25" width="2.7109375" style="49" customWidth="1"/>
    <col min="26" max="26" width="4.85546875" style="50" customWidth="1"/>
    <col min="27" max="27" width="2.7109375" style="50" customWidth="1"/>
    <col min="28" max="28" width="3.5703125" style="35" customWidth="1"/>
    <col min="29" max="29" width="2.7109375" style="49" customWidth="1"/>
    <col min="30" max="30" width="4.85546875" style="50" customWidth="1"/>
    <col min="31" max="31" width="2.7109375" style="50" customWidth="1"/>
    <col min="32" max="32" width="3.5703125" style="35" customWidth="1"/>
    <col min="33" max="33" width="2.7109375" style="49" customWidth="1"/>
    <col min="34" max="34" width="4.85546875" style="50" customWidth="1"/>
    <col min="35" max="35" width="2.7109375" style="50" customWidth="1"/>
    <col min="36" max="36" width="3.5703125" style="35" customWidth="1"/>
    <col min="37" max="37" width="2.7109375" style="49" customWidth="1"/>
    <col min="38" max="38" width="4.85546875" style="50" customWidth="1"/>
    <col min="39" max="39" width="3.5703125" style="35" customWidth="1"/>
    <col min="40" max="40" width="2.7109375" style="49" customWidth="1"/>
    <col min="41" max="41" width="4.85546875" style="50" customWidth="1"/>
    <col min="42" max="43" width="9.140625" style="28"/>
    <col min="44" max="44" width="11.7109375" style="28" customWidth="1"/>
    <col min="45" max="45" width="9.7109375" style="28" customWidth="1"/>
    <col min="46" max="46" width="8.5703125" style="28" customWidth="1"/>
    <col min="47" max="47" width="14.7109375" style="45" customWidth="1"/>
    <col min="48" max="48" width="9.140625" style="57"/>
    <col min="49" max="49" width="9.140625" style="26"/>
    <col min="50" max="50" width="9.140625" style="57"/>
    <col min="51" max="51" width="9.140625" style="26"/>
    <col min="52" max="52" width="9.140625" style="40"/>
    <col min="53" max="53" width="9.140625" style="26"/>
    <col min="54" max="54" width="9.140625" style="40"/>
    <col min="55" max="56" width="9.140625" style="26"/>
    <col min="57" max="57" width="9.140625" style="57" customWidth="1"/>
    <col min="58" max="58" width="9.140625" style="57"/>
    <col min="59" max="59" width="9.140625" style="40"/>
    <col min="60" max="60" width="9.140625" style="26"/>
    <col min="61" max="61" width="9.140625" style="40"/>
    <col min="62" max="66" width="9.140625" style="45"/>
    <col min="67" max="76" width="9.140625" style="57"/>
    <col min="77" max="78" width="9.140625" style="26"/>
    <col min="79" max="89" width="9.140625" style="57"/>
    <col min="90" max="16384" width="9.140625" style="45"/>
  </cols>
  <sheetData>
    <row r="1" spans="1:89" ht="9.9499999999999993" customHeight="1">
      <c r="A1" s="24" t="s">
        <v>34</v>
      </c>
      <c r="B1" s="25" t="s">
        <v>35</v>
      </c>
      <c r="C1" s="26" t="s">
        <v>36</v>
      </c>
      <c r="D1" s="27" t="s">
        <v>37</v>
      </c>
      <c r="E1" s="28"/>
      <c r="F1" s="29"/>
      <c r="G1" s="30"/>
      <c r="H1" s="31"/>
      <c r="I1" s="358" t="s">
        <v>38</v>
      </c>
      <c r="J1" s="358"/>
      <c r="K1" s="359" t="s">
        <v>39</v>
      </c>
      <c r="L1" s="359"/>
      <c r="M1" s="359"/>
      <c r="S1" s="33" t="str">
        <f>IF(AND(P4=TRUE,P5=TRUE),"XY",IF(P4=TRUE,"X",IF(P5=TRUE,"Y","")))</f>
        <v>XY</v>
      </c>
      <c r="T1" s="34" t="s">
        <v>40</v>
      </c>
      <c r="W1" s="27" t="s">
        <v>41</v>
      </c>
      <c r="X1" s="357" t="s">
        <v>42</v>
      </c>
      <c r="Y1" s="357"/>
      <c r="Z1" s="357"/>
      <c r="AA1" s="35"/>
      <c r="AB1" s="357" t="s">
        <v>43</v>
      </c>
      <c r="AC1" s="357"/>
      <c r="AD1" s="357"/>
      <c r="AE1" s="35"/>
      <c r="AF1" s="357" t="s">
        <v>44</v>
      </c>
      <c r="AG1" s="357"/>
      <c r="AH1" s="357"/>
      <c r="AI1" s="35"/>
      <c r="AJ1" s="357" t="s">
        <v>45</v>
      </c>
      <c r="AK1" s="357"/>
      <c r="AL1" s="357"/>
      <c r="AM1" s="357" t="s">
        <v>46</v>
      </c>
      <c r="AN1" s="357"/>
      <c r="AO1" s="357"/>
      <c r="AU1" s="36" t="str">
        <f>IF(ISBLANK(BQ3),"",BQ3)</f>
        <v/>
      </c>
      <c r="AV1" s="37"/>
      <c r="AW1" s="38"/>
      <c r="AX1" s="25"/>
      <c r="AY1" s="39"/>
      <c r="AZ1" s="26"/>
      <c r="BF1" s="42" t="s">
        <v>47</v>
      </c>
      <c r="BG1" s="43" t="s">
        <v>48</v>
      </c>
      <c r="BH1" s="44" t="s">
        <v>73</v>
      </c>
      <c r="BI1" s="43" t="s">
        <v>74</v>
      </c>
      <c r="BJ1" s="44" t="s">
        <v>75</v>
      </c>
      <c r="BK1" s="44" t="s">
        <v>76</v>
      </c>
      <c r="BL1" s="44" t="s">
        <v>77</v>
      </c>
      <c r="BO1" s="356" t="s">
        <v>162</v>
      </c>
      <c r="BP1" s="356"/>
      <c r="BQ1" s="356"/>
      <c r="BR1" s="356"/>
      <c r="BS1" s="356"/>
      <c r="BT1" s="356"/>
      <c r="BU1" s="356"/>
      <c r="BV1" s="356"/>
      <c r="BW1" s="356"/>
      <c r="BX1" s="356"/>
      <c r="BY1" s="356"/>
      <c r="BZ1" s="45"/>
      <c r="CA1" s="356" t="s">
        <v>163</v>
      </c>
      <c r="CB1" s="356"/>
      <c r="CC1" s="356"/>
      <c r="CD1" s="356"/>
      <c r="CE1" s="356"/>
      <c r="CF1" s="356"/>
      <c r="CG1" s="356"/>
      <c r="CH1" s="356"/>
      <c r="CI1" s="356"/>
      <c r="CJ1" s="356"/>
      <c r="CK1" s="356"/>
    </row>
    <row r="2" spans="1:89" ht="9.9499999999999993" customHeight="1">
      <c r="A2" s="28" t="str">
        <f>IF(ISBLANK(AV3),"",AV3)</f>
        <v/>
      </c>
      <c r="D2" s="35" t="s">
        <v>49</v>
      </c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U2" s="51"/>
      <c r="AV2" s="41" t="s">
        <v>50</v>
      </c>
      <c r="AW2" s="52" t="s">
        <v>51</v>
      </c>
      <c r="AX2" s="41" t="s">
        <v>52</v>
      </c>
      <c r="AY2" s="52" t="s">
        <v>53</v>
      </c>
      <c r="AZ2" s="53" t="s">
        <v>54</v>
      </c>
      <c r="BA2" s="52" t="s">
        <v>55</v>
      </c>
      <c r="BB2" s="53" t="s">
        <v>56</v>
      </c>
      <c r="BC2" s="52" t="s">
        <v>57</v>
      </c>
      <c r="BD2" s="52" t="s">
        <v>58</v>
      </c>
      <c r="BF2" s="41" t="str">
        <f>IF(AV6="","",IF(OR(BF3="2 SET",BF4="3 SET",BF5="4 SET"),"","1 SET"))</f>
        <v/>
      </c>
      <c r="BG2" s="53" t="str">
        <f>IF(BF2="","",IF(AF5="","",AF5+AG5/100+AH5/10000))</f>
        <v/>
      </c>
      <c r="BH2" s="52" t="str">
        <f>IF(BF2="","",IF(C6="","",AVERAGE(C4,C5)))</f>
        <v/>
      </c>
      <c r="BI2" s="53" t="str">
        <f>IF(BF2="","",IF(AF44="","",AF44+AG44/100+AH44/10000))</f>
        <v/>
      </c>
      <c r="BJ2" s="52" t="str">
        <f>IF(BF2="","",IF(C45="","",AVERAGE(C43,C44)))</f>
        <v/>
      </c>
      <c r="BK2" s="52" t="str">
        <f>IF(BF2="","",IF(C6="","",AVERAGE(C3,C6)))</f>
        <v/>
      </c>
      <c r="BL2" s="52" t="str">
        <f>IF(BF2="","",IF(C45="","",AVERAGE(C42,C45)))</f>
        <v/>
      </c>
      <c r="BN2" s="36" t="s">
        <v>159</v>
      </c>
      <c r="BO2" s="41" t="s">
        <v>79</v>
      </c>
      <c r="BP2" s="41" t="s">
        <v>69</v>
      </c>
      <c r="BQ2" s="41" t="s">
        <v>50</v>
      </c>
      <c r="BR2" s="52" t="s">
        <v>51</v>
      </c>
      <c r="BS2" s="41" t="s">
        <v>52</v>
      </c>
      <c r="BT2" s="52" t="s">
        <v>53</v>
      </c>
      <c r="BU2" s="53" t="s">
        <v>54</v>
      </c>
      <c r="BV2" s="52" t="s">
        <v>55</v>
      </c>
      <c r="BW2" s="53" t="s">
        <v>56</v>
      </c>
      <c r="BX2" s="52" t="s">
        <v>57</v>
      </c>
      <c r="BY2" s="52" t="s">
        <v>58</v>
      </c>
      <c r="BZ2" s="36" t="s">
        <v>159</v>
      </c>
      <c r="CA2" s="41" t="s">
        <v>79</v>
      </c>
      <c r="CB2" s="41" t="s">
        <v>69</v>
      </c>
      <c r="CC2" s="41" t="s">
        <v>50</v>
      </c>
      <c r="CD2" s="52" t="s">
        <v>51</v>
      </c>
      <c r="CE2" s="41" t="s">
        <v>52</v>
      </c>
      <c r="CF2" s="52" t="s">
        <v>53</v>
      </c>
      <c r="CG2" s="53" t="s">
        <v>54</v>
      </c>
      <c r="CH2" s="52" t="s">
        <v>55</v>
      </c>
      <c r="CI2" s="53" t="s">
        <v>56</v>
      </c>
      <c r="CJ2" s="52" t="s">
        <v>57</v>
      </c>
      <c r="CK2" s="52" t="s">
        <v>58</v>
      </c>
    </row>
    <row r="3" spans="1:89" ht="9.9499999999999993" customHeight="1">
      <c r="A3" s="28" t="str">
        <f>IF(ISBLANK(AX3),"",AX3)</f>
        <v/>
      </c>
      <c r="B3" s="46" t="str">
        <f>IF(ISBLANK(AZ3),"",AZ3)</f>
        <v/>
      </c>
      <c r="C3" s="47" t="str">
        <f>IF(ISBLANK(BA3),"",BA3)</f>
        <v/>
      </c>
      <c r="D3" s="55" t="str">
        <f t="shared" ref="D3:D18" si="0">IF(B3="","",B3+0.00000000001)</f>
        <v/>
      </c>
      <c r="E3" s="56" t="str">
        <f t="shared" ref="E3:E18" si="1">D3</f>
        <v/>
      </c>
      <c r="F3" s="35" t="str">
        <f>IF(E3="","",TRUNC(E3))</f>
        <v/>
      </c>
      <c r="G3" s="49" t="str">
        <f>IF(E3="","",TRUNC((E3-F3)*100))</f>
        <v/>
      </c>
      <c r="H3" s="50" t="str">
        <f>IF(E3="","",(E3*100-(F3*100+G3))*100)</f>
        <v/>
      </c>
      <c r="I3" s="57" t="s">
        <v>12</v>
      </c>
      <c r="J3" s="57" t="s">
        <v>32</v>
      </c>
      <c r="K3" s="58" t="str">
        <f t="shared" ref="K3:M18" si="2">F3</f>
        <v/>
      </c>
      <c r="L3" s="59" t="str">
        <f t="shared" si="2"/>
        <v/>
      </c>
      <c r="M3" s="60" t="str">
        <f t="shared" si="2"/>
        <v/>
      </c>
      <c r="N3" s="61" t="str">
        <f t="shared" ref="N3:N18" si="3">IF(B3="","",K3+L3/60+M3/3600)</f>
        <v/>
      </c>
      <c r="X3" s="62" t="str">
        <f>IF(N3="","-",TRUNC(N3))</f>
        <v>-</v>
      </c>
      <c r="Y3" s="63" t="str">
        <f>IF(N3="","-",TRUNC((N3-X3)*60))</f>
        <v>-</v>
      </c>
      <c r="Z3" s="64" t="str">
        <f>IF(N3="","-",((N3-X3)*60-Y3)*60)</f>
        <v>-</v>
      </c>
      <c r="AA3" s="65"/>
      <c r="AB3" s="66"/>
      <c r="AC3" s="67"/>
      <c r="AD3" s="65"/>
      <c r="AE3" s="65"/>
      <c r="AF3" s="66"/>
      <c r="AG3" s="67"/>
      <c r="AH3" s="65"/>
      <c r="AI3" s="65"/>
      <c r="AJ3" s="66"/>
      <c r="AK3" s="67"/>
      <c r="AL3" s="65"/>
      <c r="AM3" s="66"/>
      <c r="AN3" s="67"/>
      <c r="AO3" s="68"/>
      <c r="AU3" s="51">
        <f>IF(AZ42="","",AZ42)</f>
        <v>1</v>
      </c>
      <c r="AV3" s="57" t="str">
        <f>IF(ISBLANK(VLOOKUP($AU3,$BO$3:$BY$42,3,FALSE)),"",VLOOKUP($AU3,$BO$3:$BY$42,3,FALSE))</f>
        <v/>
      </c>
      <c r="AW3" s="26" t="str">
        <f>IF(ISBLANK(VLOOKUP($AU3,$BO$3:$BY$42,4,FALSE)),"",VLOOKUP($AU3,$BO$3:$BY$42,4,FALSE))</f>
        <v/>
      </c>
      <c r="AX3" s="57" t="str">
        <f>IF(ISBLANK(VLOOKUP($AU3,$BO$3:$BY$42,5,FALSE)),"",VLOOKUP($AU3,$BO$3:$BY$42,5,FALSE))</f>
        <v/>
      </c>
      <c r="AY3" s="26" t="str">
        <f>IF(ISBLANK(VLOOKUP($AU3,$BO$3:$BY$42,6,FALSE)),"",VLOOKUP($AU3,$BO$3:$BY$42,6,FALSE))</f>
        <v/>
      </c>
      <c r="AZ3" s="40" t="str">
        <f>IF(ISBLANK(VLOOKUP($AU3,$BO$3:$BY$42,7,FALSE)),"",VLOOKUP($AU3,$BO$3:$BY$42,7,FALSE))</f>
        <v/>
      </c>
      <c r="BA3" s="26" t="str">
        <f>IF(ISBLANK(VLOOKUP($AU3,$BO$3:$BY$42,8,FALSE)),"",VLOOKUP($AU3,$BO$3:$BY$42,8,FALSE))</f>
        <v/>
      </c>
      <c r="BB3" s="40" t="str">
        <f>IF(ISBLANK(VLOOKUP($AU3,$BO$3:$BY$42,9,FALSE)),"",VLOOKUP($AU3,$BO$3:$BY$42,9,FALSE))</f>
        <v/>
      </c>
      <c r="BC3" s="26" t="str">
        <f>IF(ISBLANK(VLOOKUP($AU3,$BO$3:$BY$42,10,FALSE)),"",VLOOKUP($AU3,$BO$3:$BY$42,10,FALSE))</f>
        <v/>
      </c>
      <c r="BD3" s="26" t="str">
        <f>IF(ISBLANK(VLOOKUP($AU3,$BO$3:$BY$42,11,FALSE)),"",VLOOKUP($AU3,$BO$3:$BY$42,11,FALSE))</f>
        <v/>
      </c>
      <c r="BF3" s="41" t="str">
        <f>IF(OR(AV10="",AV6=""),"",IF(OR(BF4="3 SET",BF5="4 SET"),"","2 SET"))</f>
        <v/>
      </c>
      <c r="BG3" s="53" t="str">
        <f>IF(BF3="","",IF(AJ7="","",AJ7+AK7/100+AL7/10000))</f>
        <v/>
      </c>
      <c r="BH3" s="52" t="str">
        <f>IF(BF3="","",IF(C10="","",AVERAGE(C4,C5,C8,C9)))</f>
        <v/>
      </c>
      <c r="BI3" s="53" t="str">
        <f>IF(BF3="","",IF(AJ46="","",AJ46+AK46/100+AL46/10000))</f>
        <v/>
      </c>
      <c r="BJ3" s="52" t="str">
        <f>IF(BF3="","",IF(C49="","",AVERAGE(C43,C44,C47,C48)))</f>
        <v/>
      </c>
      <c r="BK3" s="52" t="str">
        <f>IF(BF3="","",IF(C10="","",AVERAGE(C3,C6,C7,C10)))</f>
        <v/>
      </c>
      <c r="BL3" s="52" t="str">
        <f>IF(BF3="","",IF(C49="","",AVERAGE(C42,C45,C46,C49)))</f>
        <v/>
      </c>
      <c r="BN3" s="42">
        <v>1</v>
      </c>
      <c r="BO3" s="97">
        <v>1</v>
      </c>
      <c r="BR3" s="26"/>
      <c r="BT3" s="26"/>
      <c r="BU3" s="40"/>
      <c r="BV3" s="26"/>
      <c r="BW3" s="40"/>
      <c r="BX3" s="26"/>
      <c r="BZ3" s="42">
        <v>1</v>
      </c>
      <c r="CA3" s="97">
        <v>1</v>
      </c>
      <c r="CD3" s="26"/>
      <c r="CF3" s="26"/>
      <c r="CG3" s="40"/>
      <c r="CH3" s="26"/>
      <c r="CI3" s="40"/>
      <c r="CJ3" s="26"/>
      <c r="CK3" s="26"/>
    </row>
    <row r="4" spans="1:89" ht="9.9499999999999993" customHeight="1">
      <c r="A4" s="28" t="str">
        <f>IF(ISBLANK(AX4),"",AX4)</f>
        <v/>
      </c>
      <c r="B4" s="46" t="str">
        <f t="shared" ref="B4:B18" si="4">IF(ISBLANK(AZ4),"",AZ4)</f>
        <v/>
      </c>
      <c r="C4" s="47" t="str">
        <f t="shared" ref="C4:C18" si="5">IF(ISBLANK(BA4),"",BA4)</f>
        <v/>
      </c>
      <c r="D4" s="55" t="str">
        <f t="shared" si="0"/>
        <v/>
      </c>
      <c r="E4" s="56" t="str">
        <f t="shared" si="1"/>
        <v/>
      </c>
      <c r="F4" s="35" t="str">
        <f t="shared" ref="F4:F18" si="6">IF(E4="","",TRUNC(E4))</f>
        <v/>
      </c>
      <c r="G4" s="49" t="str">
        <f t="shared" ref="G4:G18" si="7">IF(E4="","",TRUNC((E4-F4)*100))</f>
        <v/>
      </c>
      <c r="H4" s="50" t="str">
        <f t="shared" ref="H4:H18" si="8">IF(E4="","",(E4*100-(F4*100+G4))*100)</f>
        <v/>
      </c>
      <c r="I4" s="57" t="s">
        <v>59</v>
      </c>
      <c r="J4" s="57" t="s">
        <v>32</v>
      </c>
      <c r="K4" s="58" t="str">
        <f t="shared" si="2"/>
        <v/>
      </c>
      <c r="L4" s="59" t="str">
        <f t="shared" si="2"/>
        <v/>
      </c>
      <c r="M4" s="60" t="str">
        <f t="shared" si="2"/>
        <v/>
      </c>
      <c r="N4" s="61" t="str">
        <f t="shared" si="3"/>
        <v/>
      </c>
      <c r="O4" s="61" t="str">
        <f>IF(OR(N3="",N4=""),"",N4-N3)</f>
        <v/>
      </c>
      <c r="P4" s="32" t="b">
        <v>1</v>
      </c>
      <c r="Q4" s="61" t="str">
        <f>IF(P4=TRUE,IF(O4="","",IF(O4&gt;360,(O4-360),IF(O4&lt;0,(O4+360),O4))),IF(O4="","",IF(O4&gt;360,(O4-360),IF(O4&lt;0,(O4+360),O4))))</f>
        <v/>
      </c>
      <c r="R4" s="32" t="b">
        <v>1</v>
      </c>
      <c r="S4" s="61" t="str">
        <f>IF(AND(P4=TRUE,P5=TRUE),IF(AND(Q4="",Q5=""),"",AVERAGE(Q4:Q5)),IF(P4=TRUE,Q4,IF(P5=TRUE,Q5,"")))</f>
        <v/>
      </c>
      <c r="T4" s="32" t="b">
        <v>1</v>
      </c>
      <c r="U4" s="61" t="str">
        <f>IF(AND(R4=TRUE,R8=TRUE),IF(AND(S4="",S8=""),"",AVERAGE(S4,S8)),IF(R4=TRUE,S4,IF(R8=TRUE,S8,"")))</f>
        <v/>
      </c>
      <c r="X4" s="62" t="str">
        <f t="shared" ref="X4:X18" si="9">IF(N4="","-",TRUNC(N4))</f>
        <v>-</v>
      </c>
      <c r="Y4" s="63" t="str">
        <f t="shared" ref="Y4:Y18" si="10">IF(N4="","-",TRUNC((N4-X4)*60))</f>
        <v>-</v>
      </c>
      <c r="Z4" s="64" t="str">
        <f t="shared" ref="Z4:Z18" si="11">IF(N4="","-",((N4-X4)*60-Y4)*60)</f>
        <v>-</v>
      </c>
      <c r="AB4" s="62" t="str">
        <f>IF(Q4="","-",TRUNC(Q4))</f>
        <v>-</v>
      </c>
      <c r="AC4" s="63" t="str">
        <f>IF(Q4="","-",TRUNC((Q4-AB4)*60))</f>
        <v>-</v>
      </c>
      <c r="AD4" s="64" t="str">
        <f>IF(Q4="","-",((Q4-AB4)*60-AC4)*60)</f>
        <v>-</v>
      </c>
      <c r="AE4" s="57"/>
      <c r="AF4" s="57"/>
      <c r="AG4" s="57"/>
      <c r="AH4" s="57"/>
      <c r="AI4" s="57"/>
      <c r="AJ4" s="57"/>
      <c r="AK4" s="57"/>
      <c r="AL4" s="57"/>
      <c r="AO4" s="69"/>
      <c r="AU4" s="51">
        <f t="shared" ref="AU4:AU18" si="12">IF(AZ43="","",AZ43)</f>
        <v>2</v>
      </c>
      <c r="AV4" s="282" t="str">
        <f t="shared" ref="AV4:AV18" si="13">IF(ISBLANK(VLOOKUP($AU4,$BO$3:$BY$42,3,FALSE)),"",VLOOKUP($AU4,$BO$3:$BY$42,3,FALSE))</f>
        <v/>
      </c>
      <c r="AW4" s="26" t="str">
        <f t="shared" ref="AW4:AW18" si="14">IF(ISBLANK(VLOOKUP($AU4,$BO$3:$BY$42,4,FALSE)),"",VLOOKUP($AU4,$BO$3:$BY$42,4,FALSE))</f>
        <v/>
      </c>
      <c r="AX4" s="282" t="str">
        <f t="shared" ref="AX4:AX18" si="15">IF(ISBLANK(VLOOKUP($AU4,$BO$3:$BY$42,5,FALSE)),"",VLOOKUP($AU4,$BO$3:$BY$42,5,FALSE))</f>
        <v/>
      </c>
      <c r="AY4" s="26" t="str">
        <f t="shared" ref="AY4:AY18" si="16">IF(ISBLANK(VLOOKUP($AU4,$BO$3:$BY$42,6,FALSE)),"",VLOOKUP($AU4,$BO$3:$BY$42,6,FALSE))</f>
        <v/>
      </c>
      <c r="AZ4" s="40" t="str">
        <f t="shared" ref="AZ4:AZ18" si="17">IF(ISBLANK(VLOOKUP($AU4,$BO$3:$BY$42,7,FALSE)),"",VLOOKUP($AU4,$BO$3:$BY$42,7,FALSE))</f>
        <v/>
      </c>
      <c r="BA4" s="26" t="str">
        <f t="shared" ref="BA4:BA18" si="18">IF(ISBLANK(VLOOKUP($AU4,$BO$3:$BY$42,8,FALSE)),"",VLOOKUP($AU4,$BO$3:$BY$42,8,FALSE))</f>
        <v/>
      </c>
      <c r="BB4" s="40" t="str">
        <f t="shared" ref="BB4:BB18" si="19">IF(ISBLANK(VLOOKUP($AU4,$BO$3:$BY$42,9,FALSE)),"",VLOOKUP($AU4,$BO$3:$BY$42,9,FALSE))</f>
        <v/>
      </c>
      <c r="BC4" s="26" t="str">
        <f t="shared" ref="BC4:BC18" si="20">IF(ISBLANK(VLOOKUP($AU4,$BO$3:$BY$42,10,FALSE)),"",VLOOKUP($AU4,$BO$3:$BY$42,10,FALSE))</f>
        <v/>
      </c>
      <c r="BD4" s="26" t="str">
        <f t="shared" ref="BD4:BD18" si="21">IF(ISBLANK(VLOOKUP($AU4,$BO$3:$BY$42,11,FALSE)),"",VLOOKUP($AU4,$BO$3:$BY$42,11,FALSE))</f>
        <v/>
      </c>
      <c r="BF4" s="41" t="str">
        <f>IF(OR(AV6="",AV10="",AV14=""),"",IF(BF5="4 SET","","3 SET"))</f>
        <v/>
      </c>
      <c r="BG4" s="53" t="str">
        <f>IF(BF4="","",IF(AM10="","",AM10+AN10/100+AO10/10000))</f>
        <v/>
      </c>
      <c r="BH4" s="52" t="str">
        <f>IF(BF4="","",IF(C14="","",AVERAGE(C4,C5,C8,C9,C12,C13)))</f>
        <v/>
      </c>
      <c r="BI4" s="53" t="str">
        <f>IF(BF4="","",IF(AM49="","",AM49+AN49/100+AO49/10000))</f>
        <v/>
      </c>
      <c r="BJ4" s="52" t="str">
        <f>IF(BF4="","",IF(C53="","",AVERAGE(C43,C44,C47,C48,C51,C52)))</f>
        <v/>
      </c>
      <c r="BK4" s="52" t="str">
        <f>IF(BF4="","",IF(C14="","",AVERAGE(C3,C6,C7,C10,C11,C14)))</f>
        <v/>
      </c>
      <c r="BL4" s="52" t="str">
        <f>IF(BF4="","",IF(C53="","",AVERAGE(C42,C45,C46,C49,C50,C53)))</f>
        <v/>
      </c>
      <c r="BN4" s="100"/>
      <c r="BO4" s="41">
        <v>2</v>
      </c>
      <c r="BR4" s="26"/>
      <c r="BT4" s="26"/>
      <c r="BU4" s="40"/>
      <c r="BV4" s="26"/>
      <c r="BW4" s="40"/>
      <c r="BX4" s="26"/>
      <c r="BZ4" s="100"/>
      <c r="CA4" s="41">
        <v>2</v>
      </c>
      <c r="CD4" s="26"/>
      <c r="CF4" s="26"/>
      <c r="CG4" s="40"/>
      <c r="CH4" s="26"/>
      <c r="CI4" s="40"/>
      <c r="CJ4" s="26"/>
      <c r="CK4" s="26"/>
    </row>
    <row r="5" spans="1:89" ht="9.9499999999999993" customHeight="1">
      <c r="A5" s="28" t="str">
        <f>IF(ISBLANK(AX5),"",AX5)</f>
        <v/>
      </c>
      <c r="B5" s="46" t="str">
        <f t="shared" si="4"/>
        <v/>
      </c>
      <c r="C5" s="47" t="str">
        <f t="shared" si="5"/>
        <v/>
      </c>
      <c r="D5" s="55" t="str">
        <f t="shared" si="0"/>
        <v/>
      </c>
      <c r="E5" s="56" t="str">
        <f t="shared" si="1"/>
        <v/>
      </c>
      <c r="F5" s="35" t="str">
        <f t="shared" si="6"/>
        <v/>
      </c>
      <c r="G5" s="49" t="str">
        <f t="shared" si="7"/>
        <v/>
      </c>
      <c r="H5" s="50" t="str">
        <f t="shared" si="8"/>
        <v/>
      </c>
      <c r="I5" s="57" t="s">
        <v>59</v>
      </c>
      <c r="J5" s="57" t="s">
        <v>60</v>
      </c>
      <c r="K5" s="58" t="str">
        <f t="shared" si="2"/>
        <v/>
      </c>
      <c r="L5" s="59" t="str">
        <f t="shared" si="2"/>
        <v/>
      </c>
      <c r="M5" s="60" t="str">
        <f t="shared" si="2"/>
        <v/>
      </c>
      <c r="N5" s="61" t="str">
        <f t="shared" si="3"/>
        <v/>
      </c>
      <c r="O5" s="61" t="str">
        <f>IF(OR(N5="",N6=""),"",N5-N6)</f>
        <v/>
      </c>
      <c r="P5" s="32" t="b">
        <v>1</v>
      </c>
      <c r="Q5" s="61" t="str">
        <f>IF(P5=TRUE,IF(O5="","",IF(O5&gt;360,(O5-360),IF(O5&lt;0,(O5+360),O5))),IF(O5="","",IF(O5&gt;360,(O5-360),IF(O5&lt;0,(O5+360),O5))))</f>
        <v/>
      </c>
      <c r="X5" s="62" t="str">
        <f t="shared" si="9"/>
        <v>-</v>
      </c>
      <c r="Y5" s="63" t="str">
        <f t="shared" si="10"/>
        <v>-</v>
      </c>
      <c r="Z5" s="64" t="str">
        <f t="shared" si="11"/>
        <v>-</v>
      </c>
      <c r="AB5" s="62" t="str">
        <f>IF(Q5="","-",TRUNC(Q5))</f>
        <v>-</v>
      </c>
      <c r="AC5" s="63" t="str">
        <f>IF(Q5="","-",TRUNC((Q5-AB5)*60))</f>
        <v>-</v>
      </c>
      <c r="AD5" s="64" t="str">
        <f>IF(Q5="","-",((Q5-AB5)*60-AC5)*60)</f>
        <v>-</v>
      </c>
      <c r="AF5" s="62" t="str">
        <f>IF(S4="","-",TRUNC(S4))</f>
        <v>-</v>
      </c>
      <c r="AG5" s="63" t="str">
        <f>IF(S4="","-",TRUNC((S4-AF5)*60))</f>
        <v>-</v>
      </c>
      <c r="AH5" s="64" t="str">
        <f>IF(S4="","-",((S4-AF5)*60-AG5)*60)</f>
        <v>-</v>
      </c>
      <c r="AJ5" s="57"/>
      <c r="AK5" s="57"/>
      <c r="AL5" s="57"/>
      <c r="AO5" s="69"/>
      <c r="AU5" s="51">
        <f t="shared" si="12"/>
        <v>3</v>
      </c>
      <c r="AV5" s="282" t="str">
        <f t="shared" si="13"/>
        <v/>
      </c>
      <c r="AW5" s="26" t="str">
        <f t="shared" si="14"/>
        <v/>
      </c>
      <c r="AX5" s="282" t="str">
        <f t="shared" si="15"/>
        <v/>
      </c>
      <c r="AY5" s="26" t="str">
        <f t="shared" si="16"/>
        <v/>
      </c>
      <c r="AZ5" s="40" t="str">
        <f t="shared" si="17"/>
        <v/>
      </c>
      <c r="BA5" s="26" t="str">
        <f t="shared" si="18"/>
        <v/>
      </c>
      <c r="BB5" s="40" t="str">
        <f t="shared" si="19"/>
        <v/>
      </c>
      <c r="BC5" s="26" t="str">
        <f t="shared" si="20"/>
        <v/>
      </c>
      <c r="BD5" s="26" t="str">
        <f t="shared" si="21"/>
        <v/>
      </c>
      <c r="BF5" s="41" t="str">
        <f>IF(OR(AV6="",AV10="",AV14="",AV18=""),"","4 SET")</f>
        <v/>
      </c>
      <c r="BG5" s="53" t="str">
        <f>IF(BF5="","",IF(AM10="","",AM10+AN10/100+AO10/10000))</f>
        <v/>
      </c>
      <c r="BH5" s="52" t="str">
        <f>IF(BF5="","",IF(C18="","",AVERAGE(C4,C5,C8,C9,C12,C13,C16,C17)))</f>
        <v/>
      </c>
      <c r="BI5" s="53" t="str">
        <f>IF(BF5="","",IF(AM49="","",AM49+AN49/100+AO49/10000))</f>
        <v/>
      </c>
      <c r="BJ5" s="52" t="str">
        <f>IF(BF5="","",IF(C57="","",AVERAGE(C43,C44,C47,C48,C51,C52,C55,C56)))</f>
        <v/>
      </c>
      <c r="BK5" s="52" t="str">
        <f>IF(BF5="","",IF(C18="","",AVERAGE(C3,C6,C7,C10,C11,C14,C15,C18)))</f>
        <v/>
      </c>
      <c r="BL5" s="52" t="str">
        <f>IF(BF5="","",IF(C57="","",AVERAGE(C42,C45,C46,C49,C50,C53,C54,C57)))</f>
        <v/>
      </c>
      <c r="BN5" s="100"/>
      <c r="BO5" s="41">
        <v>3</v>
      </c>
      <c r="BR5" s="26"/>
      <c r="BT5" s="26"/>
      <c r="BU5" s="40"/>
      <c r="BV5" s="26"/>
      <c r="BW5" s="40"/>
      <c r="BX5" s="26"/>
      <c r="BZ5" s="100"/>
      <c r="CA5" s="41">
        <v>3</v>
      </c>
      <c r="CD5" s="26"/>
      <c r="CF5" s="26"/>
      <c r="CG5" s="40"/>
      <c r="CH5" s="26"/>
      <c r="CI5" s="40"/>
      <c r="CJ5" s="26"/>
      <c r="CK5" s="26"/>
    </row>
    <row r="6" spans="1:89" ht="9.9499999999999993" customHeight="1">
      <c r="A6" s="28" t="str">
        <f>IF(ISBLANK(AX6),"",AX6)</f>
        <v/>
      </c>
      <c r="B6" s="46" t="str">
        <f t="shared" si="4"/>
        <v/>
      </c>
      <c r="C6" s="47" t="str">
        <f t="shared" si="5"/>
        <v/>
      </c>
      <c r="D6" s="55" t="str">
        <f t="shared" si="0"/>
        <v/>
      </c>
      <c r="E6" s="56" t="str">
        <f t="shared" si="1"/>
        <v/>
      </c>
      <c r="F6" s="35" t="str">
        <f t="shared" si="6"/>
        <v/>
      </c>
      <c r="G6" s="49" t="str">
        <f t="shared" si="7"/>
        <v/>
      </c>
      <c r="H6" s="50" t="str">
        <f t="shared" si="8"/>
        <v/>
      </c>
      <c r="I6" s="57" t="s">
        <v>12</v>
      </c>
      <c r="J6" s="57" t="s">
        <v>60</v>
      </c>
      <c r="K6" s="58" t="str">
        <f t="shared" si="2"/>
        <v/>
      </c>
      <c r="L6" s="59" t="str">
        <f t="shared" si="2"/>
        <v/>
      </c>
      <c r="M6" s="60" t="str">
        <f t="shared" si="2"/>
        <v/>
      </c>
      <c r="N6" s="61" t="str">
        <f t="shared" si="3"/>
        <v/>
      </c>
      <c r="X6" s="62" t="str">
        <f t="shared" si="9"/>
        <v>-</v>
      </c>
      <c r="Y6" s="63" t="str">
        <f t="shared" si="10"/>
        <v>-</v>
      </c>
      <c r="Z6" s="64" t="str">
        <f t="shared" si="11"/>
        <v>-</v>
      </c>
      <c r="AO6" s="69"/>
      <c r="AU6" s="51">
        <f t="shared" si="12"/>
        <v>4</v>
      </c>
      <c r="AV6" s="282" t="str">
        <f t="shared" si="13"/>
        <v/>
      </c>
      <c r="AW6" s="26" t="str">
        <f t="shared" si="14"/>
        <v/>
      </c>
      <c r="AX6" s="282" t="str">
        <f t="shared" si="15"/>
        <v/>
      </c>
      <c r="AY6" s="26" t="str">
        <f t="shared" si="16"/>
        <v/>
      </c>
      <c r="AZ6" s="40" t="str">
        <f t="shared" si="17"/>
        <v/>
      </c>
      <c r="BA6" s="26" t="str">
        <f t="shared" si="18"/>
        <v/>
      </c>
      <c r="BB6" s="40" t="str">
        <f t="shared" si="19"/>
        <v/>
      </c>
      <c r="BC6" s="26" t="str">
        <f t="shared" si="20"/>
        <v/>
      </c>
      <c r="BD6" s="26" t="str">
        <f t="shared" si="21"/>
        <v/>
      </c>
      <c r="BK6" s="26"/>
      <c r="BN6" s="100"/>
      <c r="BO6" s="41">
        <v>4</v>
      </c>
      <c r="BR6" s="26"/>
      <c r="BT6" s="26"/>
      <c r="BU6" s="40"/>
      <c r="BV6" s="26"/>
      <c r="BW6" s="40"/>
      <c r="BX6" s="26"/>
      <c r="BZ6" s="100"/>
      <c r="CA6" s="41">
        <v>4</v>
      </c>
      <c r="CD6" s="26"/>
      <c r="CF6" s="26"/>
      <c r="CG6" s="40"/>
      <c r="CH6" s="26"/>
      <c r="CI6" s="40"/>
      <c r="CJ6" s="26"/>
      <c r="CK6" s="26"/>
    </row>
    <row r="7" spans="1:89" ht="9.9499999999999993" customHeight="1">
      <c r="A7" s="28" t="str">
        <f t="shared" ref="A7:A18" si="22">IF(ISBLANK(AX7),"",AX7)</f>
        <v/>
      </c>
      <c r="B7" s="46" t="str">
        <f t="shared" si="4"/>
        <v/>
      </c>
      <c r="C7" s="47" t="str">
        <f t="shared" si="5"/>
        <v/>
      </c>
      <c r="D7" s="55" t="str">
        <f t="shared" si="0"/>
        <v/>
      </c>
      <c r="E7" s="56" t="str">
        <f t="shared" si="1"/>
        <v/>
      </c>
      <c r="F7" s="35" t="str">
        <f t="shared" si="6"/>
        <v/>
      </c>
      <c r="G7" s="49" t="str">
        <f t="shared" si="7"/>
        <v/>
      </c>
      <c r="H7" s="50" t="str">
        <f t="shared" si="8"/>
        <v/>
      </c>
      <c r="I7" s="57" t="s">
        <v>12</v>
      </c>
      <c r="J7" s="57" t="s">
        <v>32</v>
      </c>
      <c r="K7" s="58" t="str">
        <f t="shared" si="2"/>
        <v/>
      </c>
      <c r="L7" s="59" t="str">
        <f t="shared" si="2"/>
        <v/>
      </c>
      <c r="M7" s="60" t="str">
        <f t="shared" si="2"/>
        <v/>
      </c>
      <c r="N7" s="61" t="str">
        <f t="shared" si="3"/>
        <v/>
      </c>
      <c r="X7" s="62" t="str">
        <f t="shared" si="9"/>
        <v>-</v>
      </c>
      <c r="Y7" s="63" t="str">
        <f t="shared" si="10"/>
        <v>-</v>
      </c>
      <c r="Z7" s="64" t="str">
        <f t="shared" si="11"/>
        <v>-</v>
      </c>
      <c r="AJ7" s="62" t="str">
        <f>IF(U4="","-",TRUNC(U4))</f>
        <v>-</v>
      </c>
      <c r="AK7" s="63" t="str">
        <f>IF(U4="","-",TRUNC((U4-AJ7)*60))</f>
        <v>-</v>
      </c>
      <c r="AL7" s="64" t="str">
        <f>IF(U4="","-",((U4-AJ7)*60-AK7)*60)</f>
        <v>-</v>
      </c>
      <c r="AM7" s="57"/>
      <c r="AN7" s="57"/>
      <c r="AO7" s="70"/>
      <c r="AU7" s="51">
        <f t="shared" si="12"/>
        <v>5</v>
      </c>
      <c r="AV7" s="282" t="str">
        <f t="shared" si="13"/>
        <v/>
      </c>
      <c r="AW7" s="26" t="str">
        <f t="shared" si="14"/>
        <v/>
      </c>
      <c r="AX7" s="282" t="str">
        <f t="shared" si="15"/>
        <v/>
      </c>
      <c r="AY7" s="26" t="str">
        <f t="shared" si="16"/>
        <v/>
      </c>
      <c r="AZ7" s="40" t="str">
        <f t="shared" si="17"/>
        <v/>
      </c>
      <c r="BA7" s="26" t="str">
        <f t="shared" si="18"/>
        <v/>
      </c>
      <c r="BB7" s="40" t="str">
        <f t="shared" si="19"/>
        <v/>
      </c>
      <c r="BC7" s="26" t="str">
        <f t="shared" si="20"/>
        <v/>
      </c>
      <c r="BD7" s="26" t="str">
        <f t="shared" si="21"/>
        <v/>
      </c>
      <c r="BF7" s="101" t="str">
        <f>IF(BF5="4 SET",BF5,IF(BF4="3 SET",BF4,IF(BF3="2 SET",BF3,IF(BF2="1 SET",BF2,""))))</f>
        <v/>
      </c>
      <c r="BG7" s="71" t="str">
        <f>IF(AU1="","",VLOOKUP(BF7,BF2:BJ5,2,FALSE))</f>
        <v/>
      </c>
      <c r="BH7" s="72" t="str">
        <f>IF(AU1="","",VLOOKUP(BF7,BF2:BJ5,3,FALSE))</f>
        <v/>
      </c>
      <c r="BI7" s="71" t="str">
        <f>IF(AU1="","",VLOOKUP(BF7,BF2:BJ5,4,FALSE))</f>
        <v/>
      </c>
      <c r="BJ7" s="72" t="str">
        <f>IF(AU1="","",VLOOKUP(BF7,BF2:BJ5,5,FALSE))</f>
        <v/>
      </c>
      <c r="BK7" s="72" t="str">
        <f>IF(AU1="","",VLOOKUP(BF7,BF2:BK5,6,FALSE))</f>
        <v/>
      </c>
      <c r="BL7" s="72" t="str">
        <f>IF(AU1="","",VLOOKUP(BF7,BF2:BL5,7,FALSE))</f>
        <v/>
      </c>
      <c r="BN7" s="42">
        <v>2</v>
      </c>
      <c r="BO7" s="97">
        <v>5</v>
      </c>
      <c r="BR7" s="26"/>
      <c r="BT7" s="26"/>
      <c r="BU7" s="40"/>
      <c r="BV7" s="26"/>
      <c r="BW7" s="40"/>
      <c r="BX7" s="26"/>
      <c r="BZ7" s="42">
        <v>2</v>
      </c>
      <c r="CA7" s="97">
        <v>5</v>
      </c>
      <c r="CD7" s="26"/>
      <c r="CF7" s="26"/>
      <c r="CG7" s="40"/>
      <c r="CH7" s="26"/>
      <c r="CI7" s="40"/>
      <c r="CJ7" s="26"/>
      <c r="CK7" s="26"/>
    </row>
    <row r="8" spans="1:89" ht="9.9499999999999993" customHeight="1">
      <c r="A8" s="28" t="str">
        <f t="shared" si="22"/>
        <v/>
      </c>
      <c r="B8" s="46" t="str">
        <f t="shared" si="4"/>
        <v/>
      </c>
      <c r="C8" s="47" t="str">
        <f t="shared" si="5"/>
        <v/>
      </c>
      <c r="D8" s="55" t="str">
        <f t="shared" si="0"/>
        <v/>
      </c>
      <c r="E8" s="56" t="str">
        <f t="shared" si="1"/>
        <v/>
      </c>
      <c r="F8" s="35" t="str">
        <f t="shared" si="6"/>
        <v/>
      </c>
      <c r="G8" s="49" t="str">
        <f t="shared" si="7"/>
        <v/>
      </c>
      <c r="H8" s="50" t="str">
        <f t="shared" si="8"/>
        <v/>
      </c>
      <c r="I8" s="57" t="s">
        <v>59</v>
      </c>
      <c r="J8" s="57" t="s">
        <v>32</v>
      </c>
      <c r="K8" s="58" t="str">
        <f t="shared" si="2"/>
        <v/>
      </c>
      <c r="L8" s="59" t="str">
        <f t="shared" si="2"/>
        <v/>
      </c>
      <c r="M8" s="60" t="str">
        <f t="shared" si="2"/>
        <v/>
      </c>
      <c r="N8" s="61" t="str">
        <f t="shared" si="3"/>
        <v/>
      </c>
      <c r="O8" s="61" t="str">
        <f>IF(OR(N7="",N8=""),"",N8-N7)</f>
        <v/>
      </c>
      <c r="P8" s="32" t="b">
        <v>1</v>
      </c>
      <c r="Q8" s="61" t="str">
        <f>IF(P8=TRUE,IF(O8="","",IF(O8&gt;360,(O8-360),IF(O8&lt;0,(O8+360),O8))),IF(O8="","",IF(O8&gt;360,(O8-360),IF(O8&lt;0,(O8+360),O8))))</f>
        <v/>
      </c>
      <c r="R8" s="32" t="b">
        <v>1</v>
      </c>
      <c r="S8" s="61" t="str">
        <f>IF(AND(P8=TRUE,P9=TRUE),IF(AND(Q8="",Q9=""),"",AVERAGE(Q8:Q9)),IF(P8=TRUE,Q8,IF(P9=TRUE,Q9,"")))</f>
        <v/>
      </c>
      <c r="X8" s="62" t="str">
        <f t="shared" si="9"/>
        <v>-</v>
      </c>
      <c r="Y8" s="63" t="str">
        <f t="shared" si="10"/>
        <v>-</v>
      </c>
      <c r="Z8" s="64" t="str">
        <f t="shared" si="11"/>
        <v>-</v>
      </c>
      <c r="AB8" s="62" t="str">
        <f>IF(Q8="","-",TRUNC(Q8))</f>
        <v>-</v>
      </c>
      <c r="AC8" s="63" t="str">
        <f>IF(Q8="","-",TRUNC((Q8-AB8)*60))</f>
        <v>-</v>
      </c>
      <c r="AD8" s="64" t="str">
        <f>IF(Q8="","-",((Q8-AB8)*60-AC8)*60)</f>
        <v>-</v>
      </c>
      <c r="AE8" s="57"/>
      <c r="AF8" s="57"/>
      <c r="AG8" s="57"/>
      <c r="AH8" s="57"/>
      <c r="AI8" s="57"/>
      <c r="AO8" s="69"/>
      <c r="AU8" s="51">
        <f t="shared" si="12"/>
        <v>6</v>
      </c>
      <c r="AV8" s="282" t="str">
        <f t="shared" si="13"/>
        <v/>
      </c>
      <c r="AW8" s="26" t="str">
        <f t="shared" si="14"/>
        <v/>
      </c>
      <c r="AX8" s="282" t="str">
        <f t="shared" si="15"/>
        <v/>
      </c>
      <c r="AY8" s="26" t="str">
        <f t="shared" si="16"/>
        <v/>
      </c>
      <c r="AZ8" s="40" t="str">
        <f t="shared" si="17"/>
        <v/>
      </c>
      <c r="BA8" s="26" t="str">
        <f t="shared" si="18"/>
        <v/>
      </c>
      <c r="BB8" s="40" t="str">
        <f t="shared" si="19"/>
        <v/>
      </c>
      <c r="BC8" s="26" t="str">
        <f t="shared" si="20"/>
        <v/>
      </c>
      <c r="BD8" s="26" t="str">
        <f t="shared" si="21"/>
        <v/>
      </c>
      <c r="BN8" s="100"/>
      <c r="BO8" s="41">
        <v>6</v>
      </c>
      <c r="BR8" s="26"/>
      <c r="BT8" s="26"/>
      <c r="BU8" s="40"/>
      <c r="BV8" s="26"/>
      <c r="BW8" s="40"/>
      <c r="BX8" s="26"/>
      <c r="BZ8" s="100"/>
      <c r="CA8" s="41">
        <v>6</v>
      </c>
      <c r="CD8" s="26"/>
      <c r="CF8" s="26"/>
      <c r="CG8" s="40"/>
      <c r="CH8" s="26"/>
      <c r="CI8" s="40"/>
      <c r="CJ8" s="26"/>
      <c r="CK8" s="26"/>
    </row>
    <row r="9" spans="1:89" ht="9.9499999999999993" customHeight="1">
      <c r="A9" s="28" t="str">
        <f t="shared" si="22"/>
        <v/>
      </c>
      <c r="B9" s="46" t="str">
        <f t="shared" si="4"/>
        <v/>
      </c>
      <c r="C9" s="47" t="str">
        <f t="shared" si="5"/>
        <v/>
      </c>
      <c r="D9" s="55" t="str">
        <f t="shared" si="0"/>
        <v/>
      </c>
      <c r="E9" s="56" t="str">
        <f t="shared" si="1"/>
        <v/>
      </c>
      <c r="F9" s="35" t="str">
        <f t="shared" si="6"/>
        <v/>
      </c>
      <c r="G9" s="49" t="str">
        <f t="shared" si="7"/>
        <v/>
      </c>
      <c r="H9" s="50" t="str">
        <f t="shared" si="8"/>
        <v/>
      </c>
      <c r="I9" s="57" t="s">
        <v>59</v>
      </c>
      <c r="J9" s="57" t="s">
        <v>60</v>
      </c>
      <c r="K9" s="58" t="str">
        <f t="shared" si="2"/>
        <v/>
      </c>
      <c r="L9" s="59" t="str">
        <f t="shared" si="2"/>
        <v/>
      </c>
      <c r="M9" s="60" t="str">
        <f t="shared" si="2"/>
        <v/>
      </c>
      <c r="N9" s="61" t="str">
        <f t="shared" si="3"/>
        <v/>
      </c>
      <c r="O9" s="61" t="str">
        <f>IF(OR(N9="",N10=""),"",N9-N10)</f>
        <v/>
      </c>
      <c r="P9" s="32" t="b">
        <v>1</v>
      </c>
      <c r="Q9" s="61" t="str">
        <f>IF(P9=TRUE,IF(O9="","",IF(O9&gt;360,(O9-360),IF(O9&lt;0,(O9+360),O9))),IF(O9="","",IF(O9&gt;360,(O9-360),IF(O9&lt;0,(O9+360),O9))))</f>
        <v/>
      </c>
      <c r="X9" s="62" t="str">
        <f t="shared" si="9"/>
        <v>-</v>
      </c>
      <c r="Y9" s="63" t="str">
        <f t="shared" si="10"/>
        <v>-</v>
      </c>
      <c r="Z9" s="64" t="str">
        <f t="shared" si="11"/>
        <v>-</v>
      </c>
      <c r="AB9" s="62" t="str">
        <f>IF(Q9="","-",TRUNC(Q9))</f>
        <v>-</v>
      </c>
      <c r="AC9" s="63" t="str">
        <f>IF(Q9="","-",TRUNC((Q9-AB9)*60))</f>
        <v>-</v>
      </c>
      <c r="AD9" s="64" t="str">
        <f>IF(Q9="","-",((Q9-AB9)*60-AC9)*60)</f>
        <v>-</v>
      </c>
      <c r="AF9" s="62" t="str">
        <f>IF(S8="","-",TRUNC(S8))</f>
        <v>-</v>
      </c>
      <c r="AG9" s="63" t="str">
        <f>IF(S8="","-",TRUNC((S8-AF9)*60))</f>
        <v>-</v>
      </c>
      <c r="AH9" s="64" t="str">
        <f>IF(S8="","-",((S8-AF9)*60-AG9)*60)</f>
        <v>-</v>
      </c>
      <c r="AO9" s="69"/>
      <c r="AU9" s="51">
        <f t="shared" si="12"/>
        <v>7</v>
      </c>
      <c r="AV9" s="282" t="str">
        <f t="shared" si="13"/>
        <v/>
      </c>
      <c r="AW9" s="26" t="str">
        <f t="shared" si="14"/>
        <v/>
      </c>
      <c r="AX9" s="282" t="str">
        <f t="shared" si="15"/>
        <v/>
      </c>
      <c r="AY9" s="26" t="str">
        <f t="shared" si="16"/>
        <v/>
      </c>
      <c r="AZ9" s="40" t="str">
        <f t="shared" si="17"/>
        <v/>
      </c>
      <c r="BA9" s="26" t="str">
        <f t="shared" si="18"/>
        <v/>
      </c>
      <c r="BB9" s="40" t="str">
        <f t="shared" si="19"/>
        <v/>
      </c>
      <c r="BC9" s="26" t="str">
        <f t="shared" si="20"/>
        <v/>
      </c>
      <c r="BD9" s="26" t="str">
        <f t="shared" si="21"/>
        <v/>
      </c>
      <c r="BN9" s="100"/>
      <c r="BO9" s="41">
        <v>7</v>
      </c>
      <c r="BR9" s="26"/>
      <c r="BT9" s="26"/>
      <c r="BU9" s="40"/>
      <c r="BV9" s="26"/>
      <c r="BW9" s="40"/>
      <c r="BX9" s="26"/>
      <c r="BZ9" s="100"/>
      <c r="CA9" s="41">
        <v>7</v>
      </c>
      <c r="CD9" s="26"/>
      <c r="CF9" s="26"/>
      <c r="CG9" s="40"/>
      <c r="CH9" s="26"/>
      <c r="CI9" s="40"/>
      <c r="CJ9" s="26"/>
      <c r="CK9" s="26"/>
    </row>
    <row r="10" spans="1:89" ht="9.9499999999999993" customHeight="1">
      <c r="A10" s="28" t="str">
        <f t="shared" si="22"/>
        <v/>
      </c>
      <c r="B10" s="46" t="str">
        <f t="shared" si="4"/>
        <v/>
      </c>
      <c r="C10" s="47" t="str">
        <f t="shared" si="5"/>
        <v/>
      </c>
      <c r="D10" s="55" t="str">
        <f t="shared" si="0"/>
        <v/>
      </c>
      <c r="E10" s="56" t="str">
        <f t="shared" si="1"/>
        <v/>
      </c>
      <c r="F10" s="35" t="str">
        <f t="shared" si="6"/>
        <v/>
      </c>
      <c r="G10" s="49" t="str">
        <f t="shared" si="7"/>
        <v/>
      </c>
      <c r="H10" s="50" t="str">
        <f t="shared" si="8"/>
        <v/>
      </c>
      <c r="I10" s="57" t="s">
        <v>12</v>
      </c>
      <c r="J10" s="57" t="s">
        <v>60</v>
      </c>
      <c r="K10" s="58" t="str">
        <f t="shared" si="2"/>
        <v/>
      </c>
      <c r="L10" s="59" t="str">
        <f t="shared" si="2"/>
        <v/>
      </c>
      <c r="M10" s="60" t="str">
        <f t="shared" si="2"/>
        <v/>
      </c>
      <c r="N10" s="61" t="str">
        <f t="shared" si="3"/>
        <v/>
      </c>
      <c r="V10" s="61" t="str">
        <f>IF(AND(T4=TRUE,T12=TRUE),IF(AND(U4="",U12=""),"",AVERAGE(U4,U12)),IF(T4=TRUE,U4,IF(T12=TRUE,U12,"")))</f>
        <v/>
      </c>
      <c r="X10" s="62" t="str">
        <f t="shared" si="9"/>
        <v>-</v>
      </c>
      <c r="Y10" s="63" t="str">
        <f t="shared" si="10"/>
        <v>-</v>
      </c>
      <c r="Z10" s="64" t="str">
        <f t="shared" si="11"/>
        <v>-</v>
      </c>
      <c r="AM10" s="62" t="str">
        <f>IF(V10="","-",TRUNC(V10))</f>
        <v>-</v>
      </c>
      <c r="AN10" s="63" t="str">
        <f>IF(V10="","-",TRUNC((V10-AM10)*60))</f>
        <v>-</v>
      </c>
      <c r="AO10" s="64" t="str">
        <f>IF(V10="","-",((V10-AM10)*60-AN10)*60)</f>
        <v>-</v>
      </c>
      <c r="AP10" s="32" t="str">
        <f>IF(ISERROR(AM10),"",IF(OR(AM10="-",AM10=""),"",IF(AT19="ปรับแก้",T21+U21/100+V21/10000,AM10+AN10/100+AO10/10000)))</f>
        <v/>
      </c>
      <c r="AU10" s="51">
        <f t="shared" si="12"/>
        <v>8</v>
      </c>
      <c r="AV10" s="282" t="str">
        <f t="shared" si="13"/>
        <v/>
      </c>
      <c r="AW10" s="26" t="str">
        <f t="shared" si="14"/>
        <v/>
      </c>
      <c r="AX10" s="282" t="str">
        <f t="shared" si="15"/>
        <v/>
      </c>
      <c r="AY10" s="26" t="str">
        <f t="shared" si="16"/>
        <v/>
      </c>
      <c r="AZ10" s="40" t="str">
        <f t="shared" si="17"/>
        <v/>
      </c>
      <c r="BA10" s="26" t="str">
        <f t="shared" si="18"/>
        <v/>
      </c>
      <c r="BB10" s="40" t="str">
        <f t="shared" si="19"/>
        <v/>
      </c>
      <c r="BC10" s="26" t="str">
        <f t="shared" si="20"/>
        <v/>
      </c>
      <c r="BD10" s="26" t="str">
        <f t="shared" si="21"/>
        <v/>
      </c>
      <c r="BN10" s="100"/>
      <c r="BO10" s="41">
        <v>8</v>
      </c>
      <c r="BR10" s="26"/>
      <c r="BT10" s="26"/>
      <c r="BU10" s="40"/>
      <c r="BV10" s="26"/>
      <c r="BW10" s="40"/>
      <c r="BX10" s="26"/>
      <c r="BZ10" s="100"/>
      <c r="CA10" s="41">
        <v>8</v>
      </c>
      <c r="CD10" s="26"/>
      <c r="CF10" s="26"/>
      <c r="CG10" s="40"/>
      <c r="CH10" s="26"/>
      <c r="CI10" s="40"/>
      <c r="CJ10" s="26"/>
      <c r="CK10" s="26"/>
    </row>
    <row r="11" spans="1:89" ht="9.9499999999999993" customHeight="1">
      <c r="A11" s="28" t="str">
        <f t="shared" si="22"/>
        <v/>
      </c>
      <c r="B11" s="46" t="str">
        <f t="shared" si="4"/>
        <v/>
      </c>
      <c r="C11" s="47" t="str">
        <f t="shared" si="5"/>
        <v/>
      </c>
      <c r="D11" s="55" t="str">
        <f t="shared" si="0"/>
        <v/>
      </c>
      <c r="E11" s="56" t="str">
        <f t="shared" si="1"/>
        <v/>
      </c>
      <c r="F11" s="35" t="str">
        <f t="shared" si="6"/>
        <v/>
      </c>
      <c r="G11" s="49" t="str">
        <f t="shared" si="7"/>
        <v/>
      </c>
      <c r="H11" s="50" t="str">
        <f t="shared" si="8"/>
        <v/>
      </c>
      <c r="I11" s="57" t="s">
        <v>12</v>
      </c>
      <c r="J11" s="57" t="s">
        <v>32</v>
      </c>
      <c r="K11" s="58" t="str">
        <f t="shared" si="2"/>
        <v/>
      </c>
      <c r="L11" s="59" t="str">
        <f t="shared" si="2"/>
        <v/>
      </c>
      <c r="M11" s="60" t="str">
        <f t="shared" si="2"/>
        <v/>
      </c>
      <c r="N11" s="61" t="str">
        <f t="shared" si="3"/>
        <v/>
      </c>
      <c r="X11" s="62" t="str">
        <f t="shared" si="9"/>
        <v>-</v>
      </c>
      <c r="Y11" s="63" t="str">
        <f t="shared" si="10"/>
        <v>-</v>
      </c>
      <c r="Z11" s="64" t="str">
        <f t="shared" si="11"/>
        <v>-</v>
      </c>
      <c r="AJ11" s="73"/>
      <c r="AK11" s="74"/>
      <c r="AL11" s="75"/>
      <c r="AO11" s="69"/>
      <c r="AP11" s="47" t="str">
        <f>IF(AP10="","",AVERAGE(C4,C5,C8,C9,C12,C13,C16,C17))</f>
        <v/>
      </c>
      <c r="AU11" s="51">
        <f t="shared" si="12"/>
        <v>9</v>
      </c>
      <c r="AV11" s="282" t="str">
        <f t="shared" si="13"/>
        <v/>
      </c>
      <c r="AW11" s="26" t="str">
        <f t="shared" si="14"/>
        <v/>
      </c>
      <c r="AX11" s="282" t="str">
        <f t="shared" si="15"/>
        <v/>
      </c>
      <c r="AY11" s="26" t="str">
        <f t="shared" si="16"/>
        <v/>
      </c>
      <c r="AZ11" s="40" t="str">
        <f t="shared" si="17"/>
        <v/>
      </c>
      <c r="BA11" s="26" t="str">
        <f t="shared" si="18"/>
        <v/>
      </c>
      <c r="BB11" s="40" t="str">
        <f t="shared" si="19"/>
        <v/>
      </c>
      <c r="BC11" s="26" t="str">
        <f t="shared" si="20"/>
        <v/>
      </c>
      <c r="BD11" s="26" t="str">
        <f t="shared" si="21"/>
        <v/>
      </c>
      <c r="BN11" s="42">
        <v>3</v>
      </c>
      <c r="BO11" s="97">
        <v>9</v>
      </c>
      <c r="BR11" s="26"/>
      <c r="BT11" s="26"/>
      <c r="BU11" s="40"/>
      <c r="BV11" s="26"/>
      <c r="BW11" s="40"/>
      <c r="BX11" s="26"/>
      <c r="BZ11" s="42">
        <v>3</v>
      </c>
      <c r="CA11" s="97">
        <v>9</v>
      </c>
      <c r="CD11" s="26"/>
      <c r="CF11" s="26"/>
      <c r="CG11" s="40"/>
      <c r="CH11" s="26"/>
      <c r="CI11" s="40"/>
      <c r="CJ11" s="26"/>
      <c r="CK11" s="26"/>
    </row>
    <row r="12" spans="1:89" ht="9.9499999999999993" customHeight="1">
      <c r="A12" s="28" t="str">
        <f t="shared" si="22"/>
        <v/>
      </c>
      <c r="B12" s="46" t="str">
        <f t="shared" si="4"/>
        <v/>
      </c>
      <c r="C12" s="47" t="str">
        <f t="shared" si="5"/>
        <v/>
      </c>
      <c r="D12" s="55" t="str">
        <f t="shared" si="0"/>
        <v/>
      </c>
      <c r="E12" s="56" t="str">
        <f t="shared" si="1"/>
        <v/>
      </c>
      <c r="F12" s="35" t="str">
        <f t="shared" si="6"/>
        <v/>
      </c>
      <c r="G12" s="49" t="str">
        <f t="shared" si="7"/>
        <v/>
      </c>
      <c r="H12" s="50" t="str">
        <f t="shared" si="8"/>
        <v/>
      </c>
      <c r="I12" s="57" t="s">
        <v>59</v>
      </c>
      <c r="J12" s="57" t="s">
        <v>32</v>
      </c>
      <c r="K12" s="58" t="str">
        <f t="shared" si="2"/>
        <v/>
      </c>
      <c r="L12" s="59" t="str">
        <f t="shared" si="2"/>
        <v/>
      </c>
      <c r="M12" s="60" t="str">
        <f t="shared" si="2"/>
        <v/>
      </c>
      <c r="N12" s="61" t="str">
        <f t="shared" si="3"/>
        <v/>
      </c>
      <c r="O12" s="61" t="str">
        <f>IF(OR(N11="",N12=""),"",N12-N11)</f>
        <v/>
      </c>
      <c r="P12" s="32" t="b">
        <v>1</v>
      </c>
      <c r="Q12" s="61" t="str">
        <f t="shared" ref="Q12:Q13" si="23">IF(P12=TRUE,IF(O12="","",IF(O12&gt;360,(O12-360),IF(O12&lt;0,(O12+360),O12))),IF(O12="","",IF(O12&gt;360,(O12-360),IF(O12&lt;0,(O12+360),O12))))</f>
        <v/>
      </c>
      <c r="R12" s="32" t="b">
        <v>1</v>
      </c>
      <c r="S12" s="61" t="str">
        <f>IF(AND(P12=TRUE,P13=TRUE),IF(AND(Q12="",Q13=""),"",AVERAGE(Q12:Q13)),IF(P12=TRUE,Q12,IF(P13=TRUE,Q13,"")))</f>
        <v/>
      </c>
      <c r="T12" s="32" t="b">
        <v>1</v>
      </c>
      <c r="U12" s="61" t="str">
        <f>IF(AND(R12=TRUE,R16=TRUE),IF(AND(S12="",S16=""),"",AVERAGE(S12,S16)),IF(R12=TRUE,S12,IF(R16=TRUE,S16,"")))</f>
        <v/>
      </c>
      <c r="X12" s="62" t="str">
        <f t="shared" si="9"/>
        <v>-</v>
      </c>
      <c r="Y12" s="63" t="str">
        <f t="shared" si="10"/>
        <v>-</v>
      </c>
      <c r="Z12" s="64" t="str">
        <f t="shared" si="11"/>
        <v>-</v>
      </c>
      <c r="AB12" s="62" t="str">
        <f>IF(Q12="","-",TRUNC(Q12))</f>
        <v>-</v>
      </c>
      <c r="AC12" s="63" t="str">
        <f>IF(Q12="","-",TRUNC((Q12-AB12)*60))</f>
        <v>-</v>
      </c>
      <c r="AD12" s="64" t="str">
        <f>IF(Q12="","-",((Q12-AB12)*60-AC12)*60)</f>
        <v>-</v>
      </c>
      <c r="AE12" s="57"/>
      <c r="AJ12" s="57"/>
      <c r="AK12" s="57"/>
      <c r="AL12" s="57"/>
      <c r="AO12" s="69"/>
      <c r="AP12" s="47" t="str">
        <f>IF(AP10="","",AVERAGE(C3,C6,C7,C10,C11,C14,C15,C18))</f>
        <v/>
      </c>
      <c r="AU12" s="51">
        <f t="shared" si="12"/>
        <v>10</v>
      </c>
      <c r="AV12" s="282" t="str">
        <f t="shared" si="13"/>
        <v/>
      </c>
      <c r="AW12" s="26" t="str">
        <f t="shared" si="14"/>
        <v/>
      </c>
      <c r="AX12" s="282" t="str">
        <f t="shared" si="15"/>
        <v/>
      </c>
      <c r="AY12" s="26" t="str">
        <f t="shared" si="16"/>
        <v/>
      </c>
      <c r="AZ12" s="40" t="str">
        <f t="shared" si="17"/>
        <v/>
      </c>
      <c r="BA12" s="26" t="str">
        <f t="shared" si="18"/>
        <v/>
      </c>
      <c r="BB12" s="40" t="str">
        <f t="shared" si="19"/>
        <v/>
      </c>
      <c r="BC12" s="26" t="str">
        <f t="shared" si="20"/>
        <v/>
      </c>
      <c r="BD12" s="26" t="str">
        <f t="shared" si="21"/>
        <v/>
      </c>
      <c r="BN12" s="100"/>
      <c r="BO12" s="41">
        <v>10</v>
      </c>
      <c r="BR12" s="26"/>
      <c r="BT12" s="26"/>
      <c r="BU12" s="40"/>
      <c r="BV12" s="26"/>
      <c r="BW12" s="40"/>
      <c r="BX12" s="26"/>
      <c r="BZ12" s="100"/>
      <c r="CA12" s="41">
        <v>10</v>
      </c>
      <c r="CD12" s="26"/>
      <c r="CF12" s="26"/>
      <c r="CG12" s="40"/>
      <c r="CH12" s="26"/>
      <c r="CI12" s="40"/>
      <c r="CJ12" s="26"/>
      <c r="CK12" s="26"/>
    </row>
    <row r="13" spans="1:89" ht="9.9499999999999993" customHeight="1">
      <c r="A13" s="28" t="str">
        <f t="shared" si="22"/>
        <v/>
      </c>
      <c r="B13" s="46" t="str">
        <f t="shared" si="4"/>
        <v/>
      </c>
      <c r="C13" s="47" t="str">
        <f t="shared" si="5"/>
        <v/>
      </c>
      <c r="D13" s="55" t="str">
        <f t="shared" si="0"/>
        <v/>
      </c>
      <c r="E13" s="56" t="str">
        <f t="shared" si="1"/>
        <v/>
      </c>
      <c r="F13" s="35" t="str">
        <f t="shared" si="6"/>
        <v/>
      </c>
      <c r="G13" s="49" t="str">
        <f t="shared" si="7"/>
        <v/>
      </c>
      <c r="H13" s="50" t="str">
        <f t="shared" si="8"/>
        <v/>
      </c>
      <c r="I13" s="57" t="s">
        <v>59</v>
      </c>
      <c r="J13" s="57" t="s">
        <v>60</v>
      </c>
      <c r="K13" s="58" t="str">
        <f t="shared" si="2"/>
        <v/>
      </c>
      <c r="L13" s="59" t="str">
        <f t="shared" si="2"/>
        <v/>
      </c>
      <c r="M13" s="60" t="str">
        <f t="shared" si="2"/>
        <v/>
      </c>
      <c r="N13" s="61" t="str">
        <f t="shared" si="3"/>
        <v/>
      </c>
      <c r="O13" s="61" t="str">
        <f>IF(OR(N13="",N14=""),"",N13-N14)</f>
        <v/>
      </c>
      <c r="P13" s="32" t="b">
        <v>1</v>
      </c>
      <c r="Q13" s="61" t="str">
        <f t="shared" si="23"/>
        <v/>
      </c>
      <c r="X13" s="62" t="str">
        <f t="shared" si="9"/>
        <v>-</v>
      </c>
      <c r="Y13" s="63" t="str">
        <f t="shared" si="10"/>
        <v>-</v>
      </c>
      <c r="Z13" s="64" t="str">
        <f t="shared" si="11"/>
        <v>-</v>
      </c>
      <c r="AB13" s="62" t="str">
        <f>IF(Q13="","-",TRUNC(Q13))</f>
        <v>-</v>
      </c>
      <c r="AC13" s="63" t="str">
        <f>IF(Q13="","-",TRUNC((Q13-AB13)*60))</f>
        <v>-</v>
      </c>
      <c r="AD13" s="64" t="str">
        <f>IF(Q13="","-",((Q13-AB13)*60-AC13)*60)</f>
        <v>-</v>
      </c>
      <c r="AF13" s="62" t="str">
        <f>IF(S12="","-",TRUNC(S12))</f>
        <v>-</v>
      </c>
      <c r="AG13" s="63" t="str">
        <f>IF(S12="","-",TRUNC((S12-AF13)*60))</f>
        <v>-</v>
      </c>
      <c r="AH13" s="64" t="str">
        <f>IF(S12="","-",((S12-AF13)*60-AG13)*60)</f>
        <v>-</v>
      </c>
      <c r="AJ13" s="57"/>
      <c r="AK13" s="57"/>
      <c r="AL13" s="57"/>
      <c r="AO13" s="69"/>
      <c r="AU13" s="51">
        <f t="shared" si="12"/>
        <v>11</v>
      </c>
      <c r="AV13" s="282" t="str">
        <f t="shared" si="13"/>
        <v/>
      </c>
      <c r="AW13" s="26" t="str">
        <f t="shared" si="14"/>
        <v/>
      </c>
      <c r="AX13" s="282" t="str">
        <f t="shared" si="15"/>
        <v/>
      </c>
      <c r="AY13" s="26" t="str">
        <f t="shared" si="16"/>
        <v/>
      </c>
      <c r="AZ13" s="40" t="str">
        <f t="shared" si="17"/>
        <v/>
      </c>
      <c r="BA13" s="26" t="str">
        <f t="shared" si="18"/>
        <v/>
      </c>
      <c r="BB13" s="40" t="str">
        <f t="shared" si="19"/>
        <v/>
      </c>
      <c r="BC13" s="26" t="str">
        <f t="shared" si="20"/>
        <v/>
      </c>
      <c r="BD13" s="26" t="str">
        <f t="shared" si="21"/>
        <v/>
      </c>
      <c r="BN13" s="100"/>
      <c r="BO13" s="41">
        <v>11</v>
      </c>
      <c r="BR13" s="26"/>
      <c r="BT13" s="26"/>
      <c r="BU13" s="40"/>
      <c r="BV13" s="26"/>
      <c r="BW13" s="40"/>
      <c r="BX13" s="26"/>
      <c r="BZ13" s="100"/>
      <c r="CA13" s="41">
        <v>11</v>
      </c>
      <c r="CD13" s="26"/>
      <c r="CF13" s="26"/>
      <c r="CG13" s="40"/>
      <c r="CH13" s="26"/>
      <c r="CI13" s="40"/>
      <c r="CJ13" s="26"/>
      <c r="CK13" s="26"/>
    </row>
    <row r="14" spans="1:89" ht="9.9499999999999993" customHeight="1">
      <c r="A14" s="28" t="str">
        <f t="shared" si="22"/>
        <v/>
      </c>
      <c r="B14" s="46" t="str">
        <f t="shared" si="4"/>
        <v/>
      </c>
      <c r="C14" s="47" t="str">
        <f t="shared" si="5"/>
        <v/>
      </c>
      <c r="D14" s="55" t="str">
        <f t="shared" si="0"/>
        <v/>
      </c>
      <c r="E14" s="56" t="str">
        <f t="shared" si="1"/>
        <v/>
      </c>
      <c r="F14" s="35" t="str">
        <f t="shared" si="6"/>
        <v/>
      </c>
      <c r="G14" s="49" t="str">
        <f t="shared" si="7"/>
        <v/>
      </c>
      <c r="H14" s="50" t="str">
        <f t="shared" si="8"/>
        <v/>
      </c>
      <c r="I14" s="57" t="s">
        <v>12</v>
      </c>
      <c r="J14" s="57" t="s">
        <v>60</v>
      </c>
      <c r="K14" s="58" t="str">
        <f t="shared" si="2"/>
        <v/>
      </c>
      <c r="L14" s="59" t="str">
        <f t="shared" si="2"/>
        <v/>
      </c>
      <c r="M14" s="60" t="str">
        <f t="shared" si="2"/>
        <v/>
      </c>
      <c r="N14" s="61" t="str">
        <f t="shared" si="3"/>
        <v/>
      </c>
      <c r="X14" s="62" t="str">
        <f t="shared" si="9"/>
        <v>-</v>
      </c>
      <c r="Y14" s="63" t="str">
        <f t="shared" si="10"/>
        <v>-</v>
      </c>
      <c r="Z14" s="64" t="str">
        <f t="shared" si="11"/>
        <v>-</v>
      </c>
      <c r="AO14" s="69"/>
      <c r="AU14" s="51">
        <f t="shared" si="12"/>
        <v>12</v>
      </c>
      <c r="AV14" s="282" t="str">
        <f t="shared" si="13"/>
        <v/>
      </c>
      <c r="AW14" s="26" t="str">
        <f t="shared" si="14"/>
        <v/>
      </c>
      <c r="AX14" s="282" t="str">
        <f t="shared" si="15"/>
        <v/>
      </c>
      <c r="AY14" s="26" t="str">
        <f t="shared" si="16"/>
        <v/>
      </c>
      <c r="AZ14" s="40" t="str">
        <f t="shared" si="17"/>
        <v/>
      </c>
      <c r="BA14" s="26" t="str">
        <f t="shared" si="18"/>
        <v/>
      </c>
      <c r="BB14" s="40" t="str">
        <f t="shared" si="19"/>
        <v/>
      </c>
      <c r="BC14" s="26" t="str">
        <f t="shared" si="20"/>
        <v/>
      </c>
      <c r="BD14" s="26" t="str">
        <f t="shared" si="21"/>
        <v/>
      </c>
      <c r="BN14" s="100"/>
      <c r="BO14" s="41">
        <v>12</v>
      </c>
      <c r="BR14" s="26"/>
      <c r="BT14" s="26"/>
      <c r="BU14" s="40"/>
      <c r="BV14" s="26"/>
      <c r="BW14" s="40"/>
      <c r="BX14" s="26"/>
      <c r="BZ14" s="100"/>
      <c r="CA14" s="41">
        <v>12</v>
      </c>
      <c r="CD14" s="26"/>
      <c r="CF14" s="26"/>
      <c r="CG14" s="40"/>
      <c r="CH14" s="26"/>
      <c r="CI14" s="40"/>
      <c r="CJ14" s="26"/>
      <c r="CK14" s="26"/>
    </row>
    <row r="15" spans="1:89" ht="9.9499999999999993" customHeight="1">
      <c r="A15" s="28" t="str">
        <f t="shared" si="22"/>
        <v/>
      </c>
      <c r="B15" s="46" t="str">
        <f t="shared" si="4"/>
        <v/>
      </c>
      <c r="C15" s="47" t="str">
        <f t="shared" si="5"/>
        <v/>
      </c>
      <c r="D15" s="55" t="str">
        <f t="shared" si="0"/>
        <v/>
      </c>
      <c r="E15" s="56" t="str">
        <f t="shared" si="1"/>
        <v/>
      </c>
      <c r="F15" s="35" t="str">
        <f t="shared" si="6"/>
        <v/>
      </c>
      <c r="G15" s="49" t="str">
        <f t="shared" si="7"/>
        <v/>
      </c>
      <c r="H15" s="50" t="str">
        <f t="shared" si="8"/>
        <v/>
      </c>
      <c r="I15" s="57" t="s">
        <v>12</v>
      </c>
      <c r="J15" s="57" t="s">
        <v>32</v>
      </c>
      <c r="K15" s="58" t="str">
        <f t="shared" si="2"/>
        <v/>
      </c>
      <c r="L15" s="59" t="str">
        <f t="shared" si="2"/>
        <v/>
      </c>
      <c r="M15" s="60" t="str">
        <f t="shared" si="2"/>
        <v/>
      </c>
      <c r="N15" s="61" t="str">
        <f t="shared" si="3"/>
        <v/>
      </c>
      <c r="X15" s="62" t="str">
        <f t="shared" si="9"/>
        <v>-</v>
      </c>
      <c r="Y15" s="63" t="str">
        <f t="shared" si="10"/>
        <v>-</v>
      </c>
      <c r="Z15" s="64" t="str">
        <f t="shared" si="11"/>
        <v>-</v>
      </c>
      <c r="AJ15" s="62" t="str">
        <f>IF(U12="","-",TRUNC(U12))</f>
        <v>-</v>
      </c>
      <c r="AK15" s="63" t="str">
        <f>IF(U12="","-",TRUNC((U12-AJ15)*60))</f>
        <v>-</v>
      </c>
      <c r="AL15" s="64" t="str">
        <f>IF(U12="","-",((U12-AJ15)*60-AK15)*60)</f>
        <v>-</v>
      </c>
      <c r="AO15" s="69"/>
      <c r="AU15" s="51">
        <f t="shared" si="12"/>
        <v>13</v>
      </c>
      <c r="AV15" s="282" t="str">
        <f t="shared" si="13"/>
        <v/>
      </c>
      <c r="AW15" s="26" t="str">
        <f t="shared" si="14"/>
        <v/>
      </c>
      <c r="AX15" s="282" t="str">
        <f t="shared" si="15"/>
        <v/>
      </c>
      <c r="AY15" s="26" t="str">
        <f t="shared" si="16"/>
        <v/>
      </c>
      <c r="AZ15" s="40" t="str">
        <f t="shared" si="17"/>
        <v/>
      </c>
      <c r="BA15" s="26" t="str">
        <f t="shared" si="18"/>
        <v/>
      </c>
      <c r="BB15" s="40" t="str">
        <f t="shared" si="19"/>
        <v/>
      </c>
      <c r="BC15" s="26" t="str">
        <f t="shared" si="20"/>
        <v/>
      </c>
      <c r="BD15" s="26" t="str">
        <f t="shared" si="21"/>
        <v/>
      </c>
      <c r="BN15" s="42">
        <v>4</v>
      </c>
      <c r="BO15" s="97">
        <v>13</v>
      </c>
      <c r="BR15" s="26"/>
      <c r="BT15" s="26"/>
      <c r="BU15" s="40"/>
      <c r="BV15" s="26"/>
      <c r="BW15" s="40"/>
      <c r="BX15" s="26"/>
      <c r="BZ15" s="42">
        <v>4</v>
      </c>
      <c r="CA15" s="97">
        <v>13</v>
      </c>
      <c r="CD15" s="26"/>
      <c r="CF15" s="26"/>
      <c r="CG15" s="40"/>
      <c r="CH15" s="26"/>
      <c r="CI15" s="40"/>
      <c r="CJ15" s="26"/>
      <c r="CK15" s="26"/>
    </row>
    <row r="16" spans="1:89" ht="9.9499999999999993" customHeight="1">
      <c r="A16" s="28" t="str">
        <f t="shared" si="22"/>
        <v/>
      </c>
      <c r="B16" s="46" t="str">
        <f t="shared" si="4"/>
        <v/>
      </c>
      <c r="C16" s="47" t="str">
        <f t="shared" si="5"/>
        <v/>
      </c>
      <c r="D16" s="55" t="str">
        <f t="shared" si="0"/>
        <v/>
      </c>
      <c r="E16" s="56" t="str">
        <f t="shared" si="1"/>
        <v/>
      </c>
      <c r="F16" s="35" t="str">
        <f t="shared" si="6"/>
        <v/>
      </c>
      <c r="G16" s="49" t="str">
        <f t="shared" si="7"/>
        <v/>
      </c>
      <c r="H16" s="50" t="str">
        <f t="shared" si="8"/>
        <v/>
      </c>
      <c r="I16" s="57" t="s">
        <v>59</v>
      </c>
      <c r="J16" s="57" t="s">
        <v>32</v>
      </c>
      <c r="K16" s="58" t="str">
        <f t="shared" si="2"/>
        <v/>
      </c>
      <c r="L16" s="59" t="str">
        <f t="shared" si="2"/>
        <v/>
      </c>
      <c r="M16" s="60" t="str">
        <f t="shared" si="2"/>
        <v/>
      </c>
      <c r="N16" s="61" t="str">
        <f t="shared" si="3"/>
        <v/>
      </c>
      <c r="O16" s="61" t="str">
        <f>IF(OR(N15="",N16=""),"",N16-N15)</f>
        <v/>
      </c>
      <c r="P16" s="32" t="b">
        <v>1</v>
      </c>
      <c r="Q16" s="61" t="str">
        <f t="shared" ref="Q16:Q17" si="24">IF(P16=TRUE,IF(O16="","",IF(O16&gt;360,(O16-360),IF(O16&lt;0,(O16+360),O16))),IF(O16="","",IF(O16&gt;360,(O16-360),IF(O16&lt;0,(O16+360),O16))))</f>
        <v/>
      </c>
      <c r="R16" s="32" t="b">
        <v>1</v>
      </c>
      <c r="S16" s="61" t="str">
        <f>IF(AND(P16=TRUE,P17=TRUE),IF(AND(Q16="",Q17=""),"",AVERAGE(Q16:Q17)),IF(P16=TRUE,Q16,IF(P17=TRUE,Q17,"")))</f>
        <v/>
      </c>
      <c r="X16" s="62" t="str">
        <f t="shared" si="9"/>
        <v>-</v>
      </c>
      <c r="Y16" s="63" t="str">
        <f t="shared" si="10"/>
        <v>-</v>
      </c>
      <c r="Z16" s="64" t="str">
        <f t="shared" si="11"/>
        <v>-</v>
      </c>
      <c r="AB16" s="62" t="str">
        <f>IF(Q16="","-",TRUNC(Q16))</f>
        <v>-</v>
      </c>
      <c r="AC16" s="63" t="str">
        <f>IF(Q16="","-",TRUNC((Q16-AB16)*60))</f>
        <v>-</v>
      </c>
      <c r="AD16" s="64" t="str">
        <f>IF(Q16="","-",((Q16-AB16)*60-AC16)*60)</f>
        <v>-</v>
      </c>
      <c r="AE16" s="57"/>
      <c r="AF16" s="57"/>
      <c r="AG16" s="57"/>
      <c r="AH16" s="57"/>
      <c r="AI16" s="57"/>
      <c r="AO16" s="69"/>
      <c r="AU16" s="51">
        <f t="shared" si="12"/>
        <v>14</v>
      </c>
      <c r="AV16" s="282" t="str">
        <f t="shared" si="13"/>
        <v/>
      </c>
      <c r="AW16" s="26" t="str">
        <f t="shared" si="14"/>
        <v/>
      </c>
      <c r="AX16" s="282" t="str">
        <f t="shared" si="15"/>
        <v/>
      </c>
      <c r="AY16" s="26" t="str">
        <f t="shared" si="16"/>
        <v/>
      </c>
      <c r="AZ16" s="40" t="str">
        <f t="shared" si="17"/>
        <v/>
      </c>
      <c r="BA16" s="26" t="str">
        <f t="shared" si="18"/>
        <v/>
      </c>
      <c r="BB16" s="40" t="str">
        <f t="shared" si="19"/>
        <v/>
      </c>
      <c r="BC16" s="26" t="str">
        <f t="shared" si="20"/>
        <v/>
      </c>
      <c r="BD16" s="26" t="str">
        <f t="shared" si="21"/>
        <v/>
      </c>
      <c r="BN16" s="100"/>
      <c r="BO16" s="41">
        <v>14</v>
      </c>
      <c r="BR16" s="26"/>
      <c r="BT16" s="26"/>
      <c r="BU16" s="40"/>
      <c r="BV16" s="26"/>
      <c r="BW16" s="40"/>
      <c r="BX16" s="26"/>
      <c r="BZ16" s="100"/>
      <c r="CA16" s="41">
        <v>14</v>
      </c>
      <c r="CD16" s="26"/>
      <c r="CF16" s="26"/>
      <c r="CG16" s="40"/>
      <c r="CH16" s="26"/>
      <c r="CI16" s="40"/>
      <c r="CJ16" s="26"/>
      <c r="CK16" s="26"/>
    </row>
    <row r="17" spans="1:89" ht="9.9499999999999993" customHeight="1">
      <c r="A17" s="28" t="str">
        <f t="shared" si="22"/>
        <v/>
      </c>
      <c r="B17" s="46" t="str">
        <f t="shared" si="4"/>
        <v/>
      </c>
      <c r="C17" s="47" t="str">
        <f t="shared" si="5"/>
        <v/>
      </c>
      <c r="D17" s="55" t="str">
        <f t="shared" si="0"/>
        <v/>
      </c>
      <c r="E17" s="56" t="str">
        <f t="shared" si="1"/>
        <v/>
      </c>
      <c r="F17" s="35" t="str">
        <f t="shared" si="6"/>
        <v/>
      </c>
      <c r="G17" s="49" t="str">
        <f t="shared" si="7"/>
        <v/>
      </c>
      <c r="H17" s="50" t="str">
        <f t="shared" si="8"/>
        <v/>
      </c>
      <c r="I17" s="57" t="s">
        <v>59</v>
      </c>
      <c r="J17" s="57" t="s">
        <v>60</v>
      </c>
      <c r="K17" s="58" t="str">
        <f t="shared" si="2"/>
        <v/>
      </c>
      <c r="L17" s="59" t="str">
        <f t="shared" si="2"/>
        <v/>
      </c>
      <c r="M17" s="60" t="str">
        <f t="shared" si="2"/>
        <v/>
      </c>
      <c r="N17" s="61" t="str">
        <f t="shared" si="3"/>
        <v/>
      </c>
      <c r="O17" s="61" t="str">
        <f>IF(OR(N17="",N18=""),"",N17-N18)</f>
        <v/>
      </c>
      <c r="P17" s="32" t="b">
        <v>1</v>
      </c>
      <c r="Q17" s="61" t="str">
        <f t="shared" si="24"/>
        <v/>
      </c>
      <c r="X17" s="62" t="str">
        <f t="shared" si="9"/>
        <v>-</v>
      </c>
      <c r="Y17" s="63" t="str">
        <f t="shared" si="10"/>
        <v>-</v>
      </c>
      <c r="Z17" s="64" t="str">
        <f t="shared" si="11"/>
        <v>-</v>
      </c>
      <c r="AB17" s="62" t="str">
        <f>IF(Q17="","-",TRUNC(Q17))</f>
        <v>-</v>
      </c>
      <c r="AC17" s="63" t="str">
        <f>IF(Q17="","-",TRUNC((Q17-AB17)*60))</f>
        <v>-</v>
      </c>
      <c r="AD17" s="64" t="str">
        <f>IF(Q17="","-",((Q17-AB17)*60-AC17)*60)</f>
        <v>-</v>
      </c>
      <c r="AF17" s="62" t="str">
        <f>IF(S16="","-",TRUNC(S16))</f>
        <v>-</v>
      </c>
      <c r="AG17" s="63" t="str">
        <f>IF(S16="","-",TRUNC((S16-AF17)*60))</f>
        <v>-</v>
      </c>
      <c r="AH17" s="64" t="str">
        <f>IF(S16="","-",((S16-AF17)*60-AG17)*60)</f>
        <v>-</v>
      </c>
      <c r="AO17" s="69"/>
      <c r="AU17" s="51">
        <f t="shared" si="12"/>
        <v>15</v>
      </c>
      <c r="AV17" s="282" t="str">
        <f t="shared" si="13"/>
        <v/>
      </c>
      <c r="AW17" s="26" t="str">
        <f t="shared" si="14"/>
        <v/>
      </c>
      <c r="AX17" s="282" t="str">
        <f t="shared" si="15"/>
        <v/>
      </c>
      <c r="AY17" s="26" t="str">
        <f t="shared" si="16"/>
        <v/>
      </c>
      <c r="AZ17" s="40" t="str">
        <f t="shared" si="17"/>
        <v/>
      </c>
      <c r="BA17" s="26" t="str">
        <f t="shared" si="18"/>
        <v/>
      </c>
      <c r="BB17" s="40" t="str">
        <f t="shared" si="19"/>
        <v/>
      </c>
      <c r="BC17" s="26" t="str">
        <f t="shared" si="20"/>
        <v/>
      </c>
      <c r="BD17" s="26" t="str">
        <f t="shared" si="21"/>
        <v/>
      </c>
      <c r="BN17" s="100"/>
      <c r="BO17" s="41">
        <v>15</v>
      </c>
      <c r="BR17" s="26"/>
      <c r="BT17" s="26"/>
      <c r="BU17" s="40"/>
      <c r="BV17" s="26"/>
      <c r="BW17" s="40"/>
      <c r="BX17" s="26"/>
      <c r="BZ17" s="100"/>
      <c r="CA17" s="41">
        <v>15</v>
      </c>
      <c r="CD17" s="26"/>
      <c r="CF17" s="26"/>
      <c r="CG17" s="40"/>
      <c r="CH17" s="26"/>
      <c r="CI17" s="40"/>
      <c r="CJ17" s="26"/>
      <c r="CK17" s="26"/>
    </row>
    <row r="18" spans="1:89" ht="9.9499999999999993" customHeight="1">
      <c r="A18" s="28" t="str">
        <f t="shared" si="22"/>
        <v/>
      </c>
      <c r="B18" s="46" t="str">
        <f t="shared" si="4"/>
        <v/>
      </c>
      <c r="C18" s="47" t="str">
        <f t="shared" si="5"/>
        <v/>
      </c>
      <c r="D18" s="55" t="str">
        <f t="shared" si="0"/>
        <v/>
      </c>
      <c r="E18" s="56" t="str">
        <f t="shared" si="1"/>
        <v/>
      </c>
      <c r="F18" s="35" t="str">
        <f t="shared" si="6"/>
        <v/>
      </c>
      <c r="G18" s="49" t="str">
        <f t="shared" si="7"/>
        <v/>
      </c>
      <c r="H18" s="50" t="str">
        <f t="shared" si="8"/>
        <v/>
      </c>
      <c r="I18" s="57" t="s">
        <v>12</v>
      </c>
      <c r="J18" s="57" t="s">
        <v>60</v>
      </c>
      <c r="K18" s="58" t="str">
        <f t="shared" si="2"/>
        <v/>
      </c>
      <c r="L18" s="59" t="str">
        <f t="shared" si="2"/>
        <v/>
      </c>
      <c r="M18" s="60" t="str">
        <f t="shared" si="2"/>
        <v/>
      </c>
      <c r="N18" s="61" t="str">
        <f t="shared" si="3"/>
        <v/>
      </c>
      <c r="S18" s="76" t="str">
        <f>IF(V10="","",V10+V30)</f>
        <v/>
      </c>
      <c r="T18" s="77" t="str">
        <f>IF(S18="","",TRUNC(S18))</f>
        <v/>
      </c>
      <c r="U18" s="78" t="str">
        <f>IF(S18="","",TRUNC((S18-T18)*60))</f>
        <v/>
      </c>
      <c r="V18" s="79" t="str">
        <f>IF(S18="","",((S18-T18)*60-U18)*60)</f>
        <v/>
      </c>
      <c r="X18" s="62" t="str">
        <f t="shared" si="9"/>
        <v>-</v>
      </c>
      <c r="Y18" s="63" t="str">
        <f t="shared" si="10"/>
        <v>-</v>
      </c>
      <c r="Z18" s="64" t="str">
        <f t="shared" si="11"/>
        <v>-</v>
      </c>
      <c r="AA18" s="80"/>
      <c r="AB18" s="81"/>
      <c r="AC18" s="82"/>
      <c r="AD18" s="80"/>
      <c r="AE18" s="80"/>
      <c r="AF18" s="81"/>
      <c r="AG18" s="82"/>
      <c r="AH18" s="80"/>
      <c r="AI18" s="80"/>
      <c r="AJ18" s="81"/>
      <c r="AK18" s="82"/>
      <c r="AL18" s="80"/>
      <c r="AM18" s="81"/>
      <c r="AN18" s="82"/>
      <c r="AO18" s="83"/>
      <c r="AP18" s="28" t="str">
        <f>IF(B23="","",IF(V10="","",CONCATENATE("รวมมุม  ",AM10,"° ",AN10,"' ",ROUND(AO10,2),"""","+",AM30,"° ",AN30,"' ",ROUND(AO30,2),"""","=",)))</f>
        <v/>
      </c>
      <c r="AS18" s="28" t="str">
        <f>IF(B23="","",IF(V10="","",CONCATENATE(T18,"°  ",U18,"'  ",ROUND(V18,2),"""")))</f>
        <v/>
      </c>
      <c r="AU18" s="51">
        <f t="shared" si="12"/>
        <v>16</v>
      </c>
      <c r="AV18" s="282" t="str">
        <f t="shared" si="13"/>
        <v/>
      </c>
      <c r="AW18" s="26" t="str">
        <f t="shared" si="14"/>
        <v/>
      </c>
      <c r="AX18" s="282" t="str">
        <f t="shared" si="15"/>
        <v/>
      </c>
      <c r="AY18" s="26" t="str">
        <f t="shared" si="16"/>
        <v/>
      </c>
      <c r="AZ18" s="40" t="str">
        <f t="shared" si="17"/>
        <v/>
      </c>
      <c r="BA18" s="26" t="str">
        <f t="shared" si="18"/>
        <v/>
      </c>
      <c r="BB18" s="40" t="str">
        <f t="shared" si="19"/>
        <v/>
      </c>
      <c r="BC18" s="26" t="str">
        <f t="shared" si="20"/>
        <v/>
      </c>
      <c r="BD18" s="26" t="str">
        <f t="shared" si="21"/>
        <v/>
      </c>
      <c r="BN18" s="100"/>
      <c r="BO18" s="41">
        <v>16</v>
      </c>
      <c r="BR18" s="26"/>
      <c r="BT18" s="26"/>
      <c r="BU18" s="40"/>
      <c r="BV18" s="26"/>
      <c r="BW18" s="40"/>
      <c r="BX18" s="26"/>
      <c r="BZ18" s="100"/>
      <c r="CA18" s="41">
        <v>16</v>
      </c>
      <c r="CD18" s="26"/>
      <c r="CF18" s="26"/>
      <c r="CG18" s="40"/>
      <c r="CH18" s="26"/>
      <c r="CI18" s="40"/>
      <c r="CJ18" s="26"/>
      <c r="CK18" s="26"/>
    </row>
    <row r="19" spans="1:89" ht="9.9499999999999993" customHeight="1">
      <c r="D19" s="55"/>
      <c r="E19" s="56"/>
      <c r="S19" s="87" t="str">
        <f>IF(S18="","",IF(S18&gt;360,S18-360,360-S18))</f>
        <v/>
      </c>
      <c r="T19" s="88" t="str">
        <f t="shared" ref="T19:T22" si="25">IF(S19="","",TRUNC(S19))</f>
        <v/>
      </c>
      <c r="U19" s="42" t="str">
        <f t="shared" ref="U19:U22" si="26">IF(S19="","",TRUNC((S19-T19)*60))</f>
        <v/>
      </c>
      <c r="V19" s="89" t="str">
        <f t="shared" ref="V19:V22" si="27">IF(S19="","",((S19-T19)*60-U19)*60)</f>
        <v/>
      </c>
      <c r="AP19" s="28" t="str">
        <f>IF(B23="","",IF(V10="","",CONCATENATE("ผลต่าง  ",IF(S18&gt;360,AS18,"360° ")," - ",IF(S18&lt;360,AS18,"360° "),"   =")))</f>
        <v/>
      </c>
      <c r="AR19" s="32"/>
      <c r="AS19" s="28" t="str">
        <f>IF(B23="","",IF(V10="","",CONCATENATE(T19,"°  ",U19,"'  ",ROUND(V19,2),"""")))</f>
        <v/>
      </c>
      <c r="AT19" s="28" t="str">
        <f>IF(B23="","",IF(V10="","",IF(S19&gt;0.00056,"ปรับแก้","ไม่ปรับแก้")))</f>
        <v/>
      </c>
      <c r="BN19" s="42">
        <v>5</v>
      </c>
      <c r="BO19" s="97">
        <v>17</v>
      </c>
      <c r="BR19" s="26"/>
      <c r="BT19" s="26"/>
      <c r="BU19" s="40"/>
      <c r="BV19" s="26"/>
      <c r="BW19" s="40"/>
      <c r="BX19" s="26"/>
      <c r="BZ19" s="42">
        <v>5</v>
      </c>
      <c r="CA19" s="97">
        <v>17</v>
      </c>
      <c r="CD19" s="26"/>
      <c r="CF19" s="26"/>
      <c r="CG19" s="40"/>
      <c r="CH19" s="26"/>
      <c r="CI19" s="40"/>
      <c r="CJ19" s="26"/>
      <c r="CK19" s="26"/>
    </row>
    <row r="20" spans="1:89" ht="9.9499999999999993" customHeight="1">
      <c r="B20" s="25"/>
      <c r="C20" s="26"/>
      <c r="S20" s="90" t="str">
        <f>IF(S18="","",S19/2)</f>
        <v/>
      </c>
      <c r="T20" s="88" t="str">
        <f t="shared" si="25"/>
        <v/>
      </c>
      <c r="U20" s="42" t="str">
        <f t="shared" si="26"/>
        <v/>
      </c>
      <c r="V20" s="89" t="str">
        <f t="shared" si="27"/>
        <v/>
      </c>
      <c r="AQ20" s="28" t="str">
        <f>IF(B23="","",IF(V10="","",IF(AT19="ปรับแก้",CONCATENATE("ปรับแก้  ",T19,"°  ",U19,"'  ",ROUND(V19,2),""""," /2  =")," ")))</f>
        <v/>
      </c>
      <c r="AS20" s="28" t="str">
        <f>IF(B23="","",IF(V10="","",IF(AT19="ปรับแก้",(CONCATENATE(T20,"°  ",U20,"'  ",ROUND(V20,2),""""))," ")))</f>
        <v/>
      </c>
      <c r="BF20" s="42"/>
      <c r="BN20" s="100"/>
      <c r="BO20" s="41">
        <v>18</v>
      </c>
      <c r="BR20" s="26"/>
      <c r="BT20" s="26"/>
      <c r="BU20" s="40"/>
      <c r="BV20" s="26"/>
      <c r="BW20" s="40"/>
      <c r="BX20" s="26"/>
      <c r="BZ20" s="100"/>
      <c r="CA20" s="41">
        <v>18</v>
      </c>
      <c r="CD20" s="26"/>
      <c r="CF20" s="26"/>
      <c r="CG20" s="40"/>
      <c r="CH20" s="26"/>
      <c r="CI20" s="40"/>
      <c r="CJ20" s="26"/>
      <c r="CK20" s="26"/>
    </row>
    <row r="21" spans="1:89" ht="9.9499999999999993" customHeight="1">
      <c r="A21" s="24" t="s">
        <v>61</v>
      </c>
      <c r="B21" s="25" t="s">
        <v>35</v>
      </c>
      <c r="C21" s="26" t="s">
        <v>36</v>
      </c>
      <c r="D21" s="27" t="s">
        <v>37</v>
      </c>
      <c r="E21" s="28"/>
      <c r="F21" s="29"/>
      <c r="G21" s="30"/>
      <c r="H21" s="31"/>
      <c r="I21" s="358" t="s">
        <v>38</v>
      </c>
      <c r="J21" s="358"/>
      <c r="K21" s="359" t="s">
        <v>39</v>
      </c>
      <c r="L21" s="359"/>
      <c r="M21" s="359"/>
      <c r="S21" s="87" t="str">
        <f>IF(S18="","",IF(S18&gt;360,V10-S20,V10+S20))</f>
        <v/>
      </c>
      <c r="T21" s="88" t="str">
        <f t="shared" si="25"/>
        <v/>
      </c>
      <c r="U21" s="42" t="str">
        <f t="shared" si="26"/>
        <v/>
      </c>
      <c r="V21" s="89" t="str">
        <f t="shared" si="27"/>
        <v/>
      </c>
      <c r="W21" s="27" t="s">
        <v>41</v>
      </c>
      <c r="X21" s="357" t="s">
        <v>42</v>
      </c>
      <c r="Y21" s="357"/>
      <c r="Z21" s="357"/>
      <c r="AA21" s="35"/>
      <c r="AB21" s="357" t="s">
        <v>43</v>
      </c>
      <c r="AC21" s="357"/>
      <c r="AD21" s="357"/>
      <c r="AE21" s="35"/>
      <c r="AF21" s="357" t="s">
        <v>44</v>
      </c>
      <c r="AG21" s="357"/>
      <c r="AH21" s="357"/>
      <c r="AI21" s="35"/>
      <c r="AJ21" s="357" t="s">
        <v>45</v>
      </c>
      <c r="AK21" s="357"/>
      <c r="AL21" s="357"/>
      <c r="AM21" s="357" t="s">
        <v>46</v>
      </c>
      <c r="AN21" s="357"/>
      <c r="AO21" s="357"/>
      <c r="AQ21" s="28" t="str">
        <f>IF(B23="","",IF(V10="","",IF(AT19="ปรับแก้","มุมที่นำไปคำนวณ="," ")))</f>
        <v/>
      </c>
      <c r="AS21" s="28" t="str">
        <f>IF(B23="","",IF(V10="","",IF(AT19="ปรับแก้",(CONCATENATE(T21,"°  ",U21,"'  ",ROUND(V21,2),""""))," ")))</f>
        <v/>
      </c>
      <c r="AU21" s="36" t="str">
        <f>IF(AU1="","",AU1&amp;" (BW)")</f>
        <v/>
      </c>
      <c r="AV21" s="40" t="str">
        <f>IF(AU21="","",BG27)</f>
        <v/>
      </c>
      <c r="AW21" s="40"/>
      <c r="AX21" s="25"/>
      <c r="AZ21" s="26" t="str">
        <f>IF(AU21="","",BH27)</f>
        <v/>
      </c>
      <c r="BF21" s="42" t="s">
        <v>47</v>
      </c>
      <c r="BG21" s="43" t="s">
        <v>48</v>
      </c>
      <c r="BH21" s="44" t="s">
        <v>73</v>
      </c>
      <c r="BI21" s="43" t="s">
        <v>74</v>
      </c>
      <c r="BJ21" s="44" t="s">
        <v>75</v>
      </c>
      <c r="BK21" s="44" t="s">
        <v>76</v>
      </c>
      <c r="BL21" s="44" t="s">
        <v>77</v>
      </c>
      <c r="BN21" s="100"/>
      <c r="BO21" s="41">
        <v>19</v>
      </c>
      <c r="BR21" s="26"/>
      <c r="BT21" s="26"/>
      <c r="BU21" s="40"/>
      <c r="BV21" s="26"/>
      <c r="BW21" s="40"/>
      <c r="BX21" s="26"/>
      <c r="BZ21" s="100"/>
      <c r="CA21" s="41">
        <v>19</v>
      </c>
      <c r="CD21" s="26"/>
      <c r="CF21" s="26"/>
      <c r="CG21" s="40"/>
      <c r="CH21" s="26"/>
      <c r="CI21" s="40"/>
      <c r="CJ21" s="26"/>
      <c r="CK21" s="26"/>
    </row>
    <row r="22" spans="1:89" ht="9.9499999999999993" customHeight="1">
      <c r="A22" s="28" t="str">
        <f>IF(ISBLANK(AV23),"",AV23)</f>
        <v/>
      </c>
      <c r="D22" s="35" t="s">
        <v>49</v>
      </c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91" t="str">
        <f>IF(S18="","",IF(S18&gt;360,V10-S21,V10+S21))</f>
        <v/>
      </c>
      <c r="T22" s="92" t="str">
        <f t="shared" si="25"/>
        <v/>
      </c>
      <c r="U22" s="93" t="str">
        <f t="shared" si="26"/>
        <v/>
      </c>
      <c r="V22" s="94" t="str">
        <f t="shared" si="27"/>
        <v/>
      </c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U22" s="51"/>
      <c r="AV22" s="54" t="s">
        <v>50</v>
      </c>
      <c r="AW22" s="52" t="s">
        <v>51</v>
      </c>
      <c r="AX22" s="41" t="s">
        <v>52</v>
      </c>
      <c r="AY22" s="52" t="s">
        <v>53</v>
      </c>
      <c r="AZ22" s="53" t="s">
        <v>54</v>
      </c>
      <c r="BA22" s="52" t="s">
        <v>55</v>
      </c>
      <c r="BB22" s="53" t="s">
        <v>56</v>
      </c>
      <c r="BC22" s="52" t="s">
        <v>57</v>
      </c>
      <c r="BD22" s="52" t="s">
        <v>58</v>
      </c>
      <c r="BF22" s="41" t="str">
        <f>IF(AV26="","",IF(OR(BF23="2 SET",BF24="3 SET",BF25="4 SET"),"","1 SET"))</f>
        <v/>
      </c>
      <c r="BG22" s="53" t="str">
        <f>IF(BF22="","",IF(AF25="","",AF25+AG25/100+AH25/10000))</f>
        <v/>
      </c>
      <c r="BH22" s="52" t="str">
        <f>IF(BF22="","",IF(C26="","",AVERAGE(C24,C25)))</f>
        <v/>
      </c>
      <c r="BI22" s="53" t="s">
        <v>62</v>
      </c>
      <c r="BJ22" s="53" t="s">
        <v>62</v>
      </c>
      <c r="BK22" s="52" t="str">
        <f>IF(BF22="","",IF(C26="","",AVERAGE(C23,C26)))</f>
        <v/>
      </c>
      <c r="BL22" s="53" t="s">
        <v>62</v>
      </c>
      <c r="BN22" s="100"/>
      <c r="BO22" s="41">
        <v>20</v>
      </c>
      <c r="BR22" s="26"/>
      <c r="BT22" s="26"/>
      <c r="BU22" s="40"/>
      <c r="BV22" s="26"/>
      <c r="BW22" s="40"/>
      <c r="BX22" s="26"/>
      <c r="BZ22" s="100"/>
      <c r="CA22" s="41">
        <v>20</v>
      </c>
      <c r="CD22" s="26"/>
      <c r="CF22" s="26"/>
      <c r="CG22" s="40"/>
      <c r="CH22" s="26"/>
      <c r="CI22" s="40"/>
      <c r="CJ22" s="26"/>
      <c r="CK22" s="26"/>
    </row>
    <row r="23" spans="1:89" ht="9.9499999999999993" customHeight="1">
      <c r="A23" s="28" t="str">
        <f>IF(ISBLANK(AX23),"",AX23)</f>
        <v/>
      </c>
      <c r="B23" s="46" t="str">
        <f>IF(ISBLANK(AZ23),"",AZ23)</f>
        <v/>
      </c>
      <c r="C23" s="47" t="str">
        <f>IF(ISBLANK(BA23),"",BA23)</f>
        <v/>
      </c>
      <c r="D23" s="55" t="str">
        <f t="shared" ref="D23:D38" si="28">IF(B23="","",B23+0.00000000001)</f>
        <v/>
      </c>
      <c r="E23" s="56" t="str">
        <f t="shared" ref="E23:E38" si="29">D23</f>
        <v/>
      </c>
      <c r="F23" s="35" t="str">
        <f>IF(E23="","",TRUNC(E23))</f>
        <v/>
      </c>
      <c r="G23" s="49" t="str">
        <f>IF(E23="","",TRUNC((E23-F23)*100))</f>
        <v/>
      </c>
      <c r="H23" s="50" t="str">
        <f>IF(E23="","",(E23*100-(F23*100+G23))*100)</f>
        <v/>
      </c>
      <c r="I23" s="57" t="s">
        <v>12</v>
      </c>
      <c r="J23" s="57" t="s">
        <v>32</v>
      </c>
      <c r="K23" s="58" t="str">
        <f t="shared" ref="K23:M38" si="30">F23</f>
        <v/>
      </c>
      <c r="L23" s="59" t="str">
        <f t="shared" si="30"/>
        <v/>
      </c>
      <c r="M23" s="60" t="str">
        <f t="shared" si="30"/>
        <v/>
      </c>
      <c r="N23" s="61" t="str">
        <f t="shared" ref="N23:N38" si="31">IF(B23="","",K23+L23/60+M23/3600)</f>
        <v/>
      </c>
      <c r="X23" s="62" t="str">
        <f>IF(N23="","-",TRUNC(N23))</f>
        <v>-</v>
      </c>
      <c r="Y23" s="63" t="str">
        <f>IF(N23="","-",TRUNC((N23-X23)*60))</f>
        <v>-</v>
      </c>
      <c r="Z23" s="64" t="str">
        <f>IF(N23="","-",((N23-X23)*60-Y23)*60)</f>
        <v>-</v>
      </c>
      <c r="AA23" s="65"/>
      <c r="AB23" s="66"/>
      <c r="AC23" s="67"/>
      <c r="AD23" s="65"/>
      <c r="AE23" s="65"/>
      <c r="AF23" s="66"/>
      <c r="AG23" s="67"/>
      <c r="AH23" s="65"/>
      <c r="AI23" s="65"/>
      <c r="AJ23" s="66"/>
      <c r="AK23" s="67"/>
      <c r="AL23" s="65"/>
      <c r="AM23" s="66"/>
      <c r="AN23" s="67"/>
      <c r="AO23" s="68"/>
      <c r="AU23" s="51">
        <f>IF(BB42="","",BB42)</f>
        <v>1</v>
      </c>
      <c r="AV23" s="57" t="str">
        <f>IF(ISBLANK(VLOOKUP($AU23,$CA$3:$CK$42,3,FALSE)),"",VLOOKUP($AU23,$CA$3:$CK$42,3,FALSE))</f>
        <v/>
      </c>
      <c r="AW23" s="26" t="str">
        <f>IF(ISBLANK(VLOOKUP($AU23,$CA$3:$CK$42,4,FALSE)),"",VLOOKUP($AU23,$CA$3:$CK$42,4,FALSE))</f>
        <v/>
      </c>
      <c r="AX23" s="57" t="str">
        <f>IF(ISBLANK(VLOOKUP($AU23,$CA$3:$CK$42,5,FALSE)),"",VLOOKUP($AU23,$CA$3:$CK$42,5,FALSE))</f>
        <v/>
      </c>
      <c r="AY23" s="26" t="str">
        <f>IF(ISBLANK(VLOOKUP($AU23,$CA$3:$CK$42,6,FALSE)),"",VLOOKUP($AU23,$CA$3:$CK$42,6,FALSE))</f>
        <v/>
      </c>
      <c r="AZ23" s="40" t="str">
        <f>IF(ISBLANK(VLOOKUP($AU23,$CA$3:$CK$42,7,FALSE)),"",VLOOKUP($AU23,$CA$3:$CK$42,7,FALSE))</f>
        <v/>
      </c>
      <c r="BA23" s="26" t="str">
        <f>IF(ISBLANK(VLOOKUP($AU23,$CA$3:$CK$42,8,FALSE)),"",VLOOKUP($AU23,$CA$3:$CK$42,8,FALSE))</f>
        <v/>
      </c>
      <c r="BB23" s="40" t="str">
        <f>IF(ISBLANK(VLOOKUP($AU23,$CA$3:$CK$42,9,FALSE)),"",VLOOKUP($AU23,$CA$3:$CK$42,9,FALSE))</f>
        <v/>
      </c>
      <c r="BC23" s="26" t="str">
        <f>IF(ISBLANK(VLOOKUP($AU23,$CA$3:$CK$42,10,FALSE)),"",VLOOKUP($AU23,$CA$3:$CK$42,10,FALSE))</f>
        <v/>
      </c>
      <c r="BD23" s="26" t="str">
        <f>IF(ISBLANK(VLOOKUP($AU23,$CA$3:$CK$42,11,FALSE)),"",VLOOKUP($AU23,$CA$3:$CK$42,11,FALSE))</f>
        <v/>
      </c>
      <c r="BF23" s="41" t="str">
        <f>IF(OR(AV30="",AV26=""),"",IF(OR(BF24="3 SET",BF25="4 SET"),"","2 SET"))</f>
        <v/>
      </c>
      <c r="BG23" s="53" t="str">
        <f>IF(BF23="","",IF(AJ27="","",AJ27+AK27/100+AL27/10000))</f>
        <v/>
      </c>
      <c r="BH23" s="52" t="str">
        <f>IF(BF23="","",IF(C30="","",AVERAGE(C24,C25,C28,C29)))</f>
        <v/>
      </c>
      <c r="BI23" s="53" t="s">
        <v>62</v>
      </c>
      <c r="BJ23" s="53" t="s">
        <v>62</v>
      </c>
      <c r="BK23" s="52" t="str">
        <f>IF(BF23="","",IF(C30="","",AVERAGE(C23,C26,C27,C30)))</f>
        <v/>
      </c>
      <c r="BL23" s="53" t="s">
        <v>62</v>
      </c>
      <c r="BN23" s="42">
        <v>6</v>
      </c>
      <c r="BO23" s="97">
        <v>21</v>
      </c>
      <c r="BR23" s="26"/>
      <c r="BT23" s="26"/>
      <c r="BU23" s="40"/>
      <c r="BV23" s="26"/>
      <c r="BW23" s="40"/>
      <c r="BX23" s="26"/>
      <c r="BZ23" s="42">
        <v>6</v>
      </c>
      <c r="CA23" s="97">
        <v>21</v>
      </c>
      <c r="CD23" s="26"/>
      <c r="CF23" s="26"/>
      <c r="CG23" s="40"/>
      <c r="CH23" s="26"/>
      <c r="CI23" s="40"/>
      <c r="CJ23" s="26"/>
      <c r="CK23" s="26"/>
    </row>
    <row r="24" spans="1:89" ht="9.9499999999999993" customHeight="1">
      <c r="A24" s="28" t="str">
        <f t="shared" ref="A24:A38" si="32">IF(ISBLANK(AX24),"",AX24)</f>
        <v/>
      </c>
      <c r="B24" s="46" t="str">
        <f t="shared" ref="B24:B38" si="33">IF(ISBLANK(AZ24),"",AZ24)</f>
        <v/>
      </c>
      <c r="C24" s="47" t="str">
        <f t="shared" ref="C24:C38" si="34">IF(ISBLANK(BA24),"",BA24)</f>
        <v/>
      </c>
      <c r="D24" s="55" t="str">
        <f t="shared" si="28"/>
        <v/>
      </c>
      <c r="E24" s="56" t="str">
        <f t="shared" si="29"/>
        <v/>
      </c>
      <c r="F24" s="35" t="str">
        <f t="shared" ref="F24:F38" si="35">IF(E24="","",TRUNC(E24))</f>
        <v/>
      </c>
      <c r="G24" s="49" t="str">
        <f t="shared" ref="G24:G38" si="36">IF(E24="","",TRUNC((E24-F24)*100))</f>
        <v/>
      </c>
      <c r="H24" s="50" t="str">
        <f t="shared" ref="H24:H38" si="37">IF(E24="","",(E24*100-(F24*100+G24))*100)</f>
        <v/>
      </c>
      <c r="I24" s="57" t="s">
        <v>59</v>
      </c>
      <c r="J24" s="57" t="s">
        <v>32</v>
      </c>
      <c r="K24" s="58" t="str">
        <f t="shared" si="30"/>
        <v/>
      </c>
      <c r="L24" s="59" t="str">
        <f t="shared" si="30"/>
        <v/>
      </c>
      <c r="M24" s="60" t="str">
        <f t="shared" si="30"/>
        <v/>
      </c>
      <c r="N24" s="61" t="str">
        <f t="shared" si="31"/>
        <v/>
      </c>
      <c r="O24" s="61" t="str">
        <f>IF(OR(N23="",N24=""),"",N24-N23)</f>
        <v/>
      </c>
      <c r="P24" s="32" t="b">
        <v>1</v>
      </c>
      <c r="Q24" s="61" t="str">
        <f t="shared" ref="Q24:Q25" si="38">IF(P24=TRUE,IF(O24="","",IF(O24&gt;360,(O24-360),IF(O24&lt;0,(O24+360),O24))),IF(O24="","",IF(O24&gt;360,(O24-360),IF(O24&lt;0,(O24+360),O24))))</f>
        <v/>
      </c>
      <c r="R24" s="32" t="b">
        <v>1</v>
      </c>
      <c r="S24" s="61" t="str">
        <f>IF(AND(P24=TRUE,P25=TRUE),IF(AND(Q24="",Q25=""),"",AVERAGE(Q24:Q25)),IF(P24=TRUE,Q24,IF(P25=TRUE,Q25,"")))</f>
        <v/>
      </c>
      <c r="T24" s="32" t="b">
        <v>1</v>
      </c>
      <c r="U24" s="61" t="str">
        <f>IF(AND(R24=TRUE,R28=TRUE),IF(AND(S24="",S28=""),"",AVERAGE(S24,S28)),IF(R24=TRUE,S24,IF(R28=TRUE,S28,"")))</f>
        <v/>
      </c>
      <c r="X24" s="62" t="str">
        <f t="shared" ref="X24:X38" si="39">IF(N24="","-",TRUNC(N24))</f>
        <v>-</v>
      </c>
      <c r="Y24" s="63" t="str">
        <f t="shared" ref="Y24:Y38" si="40">IF(N24="","-",TRUNC((N24-X24)*60))</f>
        <v>-</v>
      </c>
      <c r="Z24" s="64" t="str">
        <f t="shared" ref="Z24:Z38" si="41">IF(N24="","-",((N24-X24)*60-Y24)*60)</f>
        <v>-</v>
      </c>
      <c r="AB24" s="62" t="str">
        <f>IF(Q24="","-",TRUNC(Q24))</f>
        <v>-</v>
      </c>
      <c r="AC24" s="63" t="str">
        <f>IF(Q24="","-",TRUNC((Q24-AB24)*60))</f>
        <v>-</v>
      </c>
      <c r="AD24" s="64" t="str">
        <f>IF(Q24="","-",((Q24-AB24)*60-AC24)*60)</f>
        <v>-</v>
      </c>
      <c r="AE24" s="57"/>
      <c r="AF24" s="57"/>
      <c r="AG24" s="57"/>
      <c r="AH24" s="57"/>
      <c r="AI24" s="57"/>
      <c r="AJ24" s="57"/>
      <c r="AK24" s="57"/>
      <c r="AL24" s="57"/>
      <c r="AO24" s="69"/>
      <c r="AU24" s="51">
        <f t="shared" ref="AU24:AU38" si="42">IF(BB43="","",BB43)</f>
        <v>2</v>
      </c>
      <c r="AV24" s="282" t="str">
        <f t="shared" ref="AV24:AV38" si="43">IF(ISBLANK(VLOOKUP($AU24,$CA$3:$CK$42,3,FALSE)),"",VLOOKUP($AU24,$CA$3:$CK$42,3,FALSE))</f>
        <v/>
      </c>
      <c r="AW24" s="26" t="str">
        <f t="shared" ref="AW24:AW38" si="44">IF(ISBLANK(VLOOKUP($AU24,$CA$3:$CK$42,4,FALSE)),"",VLOOKUP($AU24,$CA$3:$CK$42,4,FALSE))</f>
        <v/>
      </c>
      <c r="AX24" s="282" t="str">
        <f t="shared" ref="AX24:AX38" si="45">IF(ISBLANK(VLOOKUP($AU24,$CA$3:$CK$42,5,FALSE)),"",VLOOKUP($AU24,$CA$3:$CK$42,5,FALSE))</f>
        <v/>
      </c>
      <c r="AY24" s="26" t="str">
        <f t="shared" ref="AY24:AY38" si="46">IF(ISBLANK(VLOOKUP($AU24,$CA$3:$CK$42,6,FALSE)),"",VLOOKUP($AU24,$CA$3:$CK$42,6,FALSE))</f>
        <v/>
      </c>
      <c r="AZ24" s="40" t="str">
        <f t="shared" ref="AZ24:AZ38" si="47">IF(ISBLANK(VLOOKUP($AU24,$CA$3:$CK$42,7,FALSE)),"",VLOOKUP($AU24,$CA$3:$CK$42,7,FALSE))</f>
        <v/>
      </c>
      <c r="BA24" s="26" t="str">
        <f t="shared" ref="BA24:BA38" si="48">IF(ISBLANK(VLOOKUP($AU24,$CA$3:$CK$42,8,FALSE)),"",VLOOKUP($AU24,$CA$3:$CK$42,8,FALSE))</f>
        <v/>
      </c>
      <c r="BB24" s="40" t="str">
        <f t="shared" ref="BB24:BB38" si="49">IF(ISBLANK(VLOOKUP($AU24,$CA$3:$CK$42,9,FALSE)),"",VLOOKUP($AU24,$CA$3:$CK$42,9,FALSE))</f>
        <v/>
      </c>
      <c r="BC24" s="26" t="str">
        <f t="shared" ref="BC24:BC38" si="50">IF(ISBLANK(VLOOKUP($AU24,$CA$3:$CK$42,10,FALSE)),"",VLOOKUP($AU24,$CA$3:$CK$42,10,FALSE))</f>
        <v/>
      </c>
      <c r="BD24" s="26" t="str">
        <f t="shared" ref="BD24:BD38" si="51">IF(ISBLANK(VLOOKUP($AU24,$CA$3:$CK$42,11,FALSE)),"",VLOOKUP($AU24,$CA$3:$CK$42,11,FALSE))</f>
        <v/>
      </c>
      <c r="BF24" s="41" t="str">
        <f>IF(OR(AV26="",AV30="",AV34=""),"",IF(BF25="4 SET","","3 SET"))</f>
        <v/>
      </c>
      <c r="BG24" s="53" t="str">
        <f>IF(BF24="","",IF(AM30="","",AM30+AN30/100+AO30/10000))</f>
        <v/>
      </c>
      <c r="BH24" s="52" t="str">
        <f>IF(BF24="","",IF(C34="","",AVERAGE(C24,C25,C28,C29,C32,C33)))</f>
        <v/>
      </c>
      <c r="BI24" s="53" t="s">
        <v>62</v>
      </c>
      <c r="BJ24" s="53" t="s">
        <v>62</v>
      </c>
      <c r="BK24" s="52" t="str">
        <f>IF(BF24="","",IF(C34="","",AVERAGE(C23,C26,C27,C30,C31,C34)))</f>
        <v/>
      </c>
      <c r="BL24" s="53" t="s">
        <v>62</v>
      </c>
      <c r="BN24" s="100"/>
      <c r="BO24" s="41">
        <v>22</v>
      </c>
      <c r="BR24" s="26"/>
      <c r="BT24" s="26"/>
      <c r="BU24" s="40"/>
      <c r="BV24" s="26"/>
      <c r="BW24" s="40"/>
      <c r="BX24" s="26"/>
      <c r="BZ24" s="100"/>
      <c r="CA24" s="41">
        <v>22</v>
      </c>
      <c r="CD24" s="26"/>
      <c r="CF24" s="26"/>
      <c r="CG24" s="40"/>
      <c r="CH24" s="26"/>
      <c r="CI24" s="40"/>
      <c r="CJ24" s="26"/>
      <c r="CK24" s="26"/>
    </row>
    <row r="25" spans="1:89" ht="9.9499999999999993" customHeight="1">
      <c r="A25" s="28" t="str">
        <f t="shared" si="32"/>
        <v/>
      </c>
      <c r="B25" s="46" t="str">
        <f t="shared" si="33"/>
        <v/>
      </c>
      <c r="C25" s="47" t="str">
        <f t="shared" si="34"/>
        <v/>
      </c>
      <c r="D25" s="55" t="str">
        <f t="shared" si="28"/>
        <v/>
      </c>
      <c r="E25" s="56" t="str">
        <f t="shared" si="29"/>
        <v/>
      </c>
      <c r="F25" s="35" t="str">
        <f t="shared" si="35"/>
        <v/>
      </c>
      <c r="G25" s="49" t="str">
        <f t="shared" si="36"/>
        <v/>
      </c>
      <c r="H25" s="50" t="str">
        <f t="shared" si="37"/>
        <v/>
      </c>
      <c r="I25" s="57" t="s">
        <v>59</v>
      </c>
      <c r="J25" s="57" t="s">
        <v>60</v>
      </c>
      <c r="K25" s="58" t="str">
        <f t="shared" si="30"/>
        <v/>
      </c>
      <c r="L25" s="59" t="str">
        <f t="shared" si="30"/>
        <v/>
      </c>
      <c r="M25" s="60" t="str">
        <f t="shared" si="30"/>
        <v/>
      </c>
      <c r="N25" s="61" t="str">
        <f t="shared" si="31"/>
        <v/>
      </c>
      <c r="O25" s="61" t="str">
        <f>IF(OR(N25="",N26=""),"",N25-N26)</f>
        <v/>
      </c>
      <c r="P25" s="32" t="b">
        <v>1</v>
      </c>
      <c r="Q25" s="61" t="str">
        <f t="shared" si="38"/>
        <v/>
      </c>
      <c r="X25" s="62" t="str">
        <f t="shared" si="39"/>
        <v>-</v>
      </c>
      <c r="Y25" s="63" t="str">
        <f t="shared" si="40"/>
        <v>-</v>
      </c>
      <c r="Z25" s="64" t="str">
        <f t="shared" si="41"/>
        <v>-</v>
      </c>
      <c r="AB25" s="62" t="str">
        <f>IF(Q25="","-",TRUNC(Q25))</f>
        <v>-</v>
      </c>
      <c r="AC25" s="63" t="str">
        <f>IF(Q25="","-",TRUNC((Q25-AB25)*60))</f>
        <v>-</v>
      </c>
      <c r="AD25" s="64" t="str">
        <f>IF(Q25="","-",((Q25-AB25)*60-AC25)*60)</f>
        <v>-</v>
      </c>
      <c r="AF25" s="62" t="str">
        <f>IF(S24="","-",TRUNC(S24))</f>
        <v>-</v>
      </c>
      <c r="AG25" s="63" t="str">
        <f>IF(S24="","-",TRUNC((S24-AF25)*60))</f>
        <v>-</v>
      </c>
      <c r="AH25" s="64" t="str">
        <f>IF(S24="","-",((S24-AF25)*60-AG25)*60)</f>
        <v>-</v>
      </c>
      <c r="AJ25" s="57"/>
      <c r="AK25" s="57"/>
      <c r="AL25" s="57"/>
      <c r="AO25" s="69"/>
      <c r="AU25" s="51">
        <f t="shared" si="42"/>
        <v>3</v>
      </c>
      <c r="AV25" s="282" t="str">
        <f t="shared" si="43"/>
        <v/>
      </c>
      <c r="AW25" s="26" t="str">
        <f t="shared" si="44"/>
        <v/>
      </c>
      <c r="AX25" s="282" t="str">
        <f t="shared" si="45"/>
        <v/>
      </c>
      <c r="AY25" s="26" t="str">
        <f t="shared" si="46"/>
        <v/>
      </c>
      <c r="AZ25" s="40" t="str">
        <f t="shared" si="47"/>
        <v/>
      </c>
      <c r="BA25" s="26" t="str">
        <f t="shared" si="48"/>
        <v/>
      </c>
      <c r="BB25" s="40" t="str">
        <f t="shared" si="49"/>
        <v/>
      </c>
      <c r="BC25" s="26" t="str">
        <f t="shared" si="50"/>
        <v/>
      </c>
      <c r="BD25" s="26" t="str">
        <f t="shared" si="51"/>
        <v/>
      </c>
      <c r="BF25" s="41" t="str">
        <f>IF(OR(AV26="",AV30="",AV34="",AV38=""),"","4 SET")</f>
        <v/>
      </c>
      <c r="BG25" s="53" t="str">
        <f>IF(BF25="","",IF(AM30="","",AM30+AN30/100+AO30/10000))</f>
        <v/>
      </c>
      <c r="BH25" s="52" t="str">
        <f>IF(BF25="","",IF(C38="","",AVERAGE(C24,C25,C28,C29,C32,C33,C36,C37)))</f>
        <v/>
      </c>
      <c r="BI25" s="53" t="s">
        <v>62</v>
      </c>
      <c r="BJ25" s="53" t="s">
        <v>62</v>
      </c>
      <c r="BK25" s="52" t="str">
        <f>IF(BF25="","",IF(C38="","",AVERAGE(C23,C26,C27,C30,C31,C34,C35,C38)))</f>
        <v/>
      </c>
      <c r="BL25" s="53" t="s">
        <v>62</v>
      </c>
      <c r="BN25" s="100"/>
      <c r="BO25" s="41">
        <v>23</v>
      </c>
      <c r="BR25" s="26"/>
      <c r="BT25" s="26"/>
      <c r="BU25" s="40"/>
      <c r="BV25" s="26"/>
      <c r="BW25" s="40"/>
      <c r="BX25" s="26"/>
      <c r="BZ25" s="100"/>
      <c r="CA25" s="41">
        <v>23</v>
      </c>
      <c r="CD25" s="26"/>
      <c r="CF25" s="26"/>
      <c r="CG25" s="40"/>
      <c r="CH25" s="26"/>
      <c r="CI25" s="40"/>
      <c r="CJ25" s="26"/>
      <c r="CK25" s="26"/>
    </row>
    <row r="26" spans="1:89" ht="9.9499999999999993" customHeight="1">
      <c r="A26" s="28" t="str">
        <f t="shared" si="32"/>
        <v/>
      </c>
      <c r="B26" s="46" t="str">
        <f t="shared" si="33"/>
        <v/>
      </c>
      <c r="C26" s="47" t="str">
        <f t="shared" si="34"/>
        <v/>
      </c>
      <c r="D26" s="55" t="str">
        <f t="shared" si="28"/>
        <v/>
      </c>
      <c r="E26" s="56" t="str">
        <f t="shared" si="29"/>
        <v/>
      </c>
      <c r="F26" s="35" t="str">
        <f t="shared" si="35"/>
        <v/>
      </c>
      <c r="G26" s="49" t="str">
        <f t="shared" si="36"/>
        <v/>
      </c>
      <c r="H26" s="50" t="str">
        <f t="shared" si="37"/>
        <v/>
      </c>
      <c r="I26" s="57" t="s">
        <v>12</v>
      </c>
      <c r="J26" s="57" t="s">
        <v>60</v>
      </c>
      <c r="K26" s="58" t="str">
        <f t="shared" si="30"/>
        <v/>
      </c>
      <c r="L26" s="59" t="str">
        <f t="shared" si="30"/>
        <v/>
      </c>
      <c r="M26" s="60" t="str">
        <f t="shared" si="30"/>
        <v/>
      </c>
      <c r="N26" s="61" t="str">
        <f t="shared" si="31"/>
        <v/>
      </c>
      <c r="X26" s="62" t="str">
        <f t="shared" si="39"/>
        <v>-</v>
      </c>
      <c r="Y26" s="63" t="str">
        <f t="shared" si="40"/>
        <v>-</v>
      </c>
      <c r="Z26" s="64" t="str">
        <f t="shared" si="41"/>
        <v>-</v>
      </c>
      <c r="AO26" s="69"/>
      <c r="AU26" s="51">
        <f t="shared" si="42"/>
        <v>4</v>
      </c>
      <c r="AV26" s="282" t="str">
        <f t="shared" si="43"/>
        <v/>
      </c>
      <c r="AW26" s="26" t="str">
        <f t="shared" si="44"/>
        <v/>
      </c>
      <c r="AX26" s="282" t="str">
        <f t="shared" si="45"/>
        <v/>
      </c>
      <c r="AY26" s="26" t="str">
        <f t="shared" si="46"/>
        <v/>
      </c>
      <c r="AZ26" s="40" t="str">
        <f t="shared" si="47"/>
        <v/>
      </c>
      <c r="BA26" s="26" t="str">
        <f t="shared" si="48"/>
        <v/>
      </c>
      <c r="BB26" s="40" t="str">
        <f t="shared" si="49"/>
        <v/>
      </c>
      <c r="BC26" s="26" t="str">
        <f t="shared" si="50"/>
        <v/>
      </c>
      <c r="BD26" s="26" t="str">
        <f t="shared" si="51"/>
        <v/>
      </c>
      <c r="BJ26" s="40"/>
      <c r="BK26" s="26"/>
      <c r="BL26" s="40"/>
      <c r="BN26" s="100"/>
      <c r="BO26" s="41">
        <v>24</v>
      </c>
      <c r="BR26" s="26"/>
      <c r="BT26" s="26"/>
      <c r="BU26" s="40"/>
      <c r="BV26" s="26"/>
      <c r="BW26" s="40"/>
      <c r="BX26" s="26"/>
      <c r="BZ26" s="100"/>
      <c r="CA26" s="41">
        <v>24</v>
      </c>
      <c r="CD26" s="26"/>
      <c r="CF26" s="26"/>
      <c r="CG26" s="40"/>
      <c r="CH26" s="26"/>
      <c r="CI26" s="40"/>
      <c r="CJ26" s="26"/>
      <c r="CK26" s="26"/>
    </row>
    <row r="27" spans="1:89" ht="9.9499999999999993" customHeight="1">
      <c r="A27" s="28" t="str">
        <f t="shared" si="32"/>
        <v/>
      </c>
      <c r="B27" s="46" t="str">
        <f t="shared" si="33"/>
        <v/>
      </c>
      <c r="C27" s="47" t="str">
        <f t="shared" si="34"/>
        <v/>
      </c>
      <c r="D27" s="55" t="str">
        <f t="shared" si="28"/>
        <v/>
      </c>
      <c r="E27" s="56" t="str">
        <f t="shared" si="29"/>
        <v/>
      </c>
      <c r="F27" s="35" t="str">
        <f t="shared" si="35"/>
        <v/>
      </c>
      <c r="G27" s="49" t="str">
        <f t="shared" si="36"/>
        <v/>
      </c>
      <c r="H27" s="50" t="str">
        <f t="shared" si="37"/>
        <v/>
      </c>
      <c r="I27" s="57" t="s">
        <v>12</v>
      </c>
      <c r="J27" s="57" t="s">
        <v>32</v>
      </c>
      <c r="K27" s="58" t="str">
        <f t="shared" si="30"/>
        <v/>
      </c>
      <c r="L27" s="59" t="str">
        <f t="shared" si="30"/>
        <v/>
      </c>
      <c r="M27" s="60" t="str">
        <f t="shared" si="30"/>
        <v/>
      </c>
      <c r="N27" s="61" t="str">
        <f t="shared" si="31"/>
        <v/>
      </c>
      <c r="X27" s="62" t="str">
        <f t="shared" si="39"/>
        <v>-</v>
      </c>
      <c r="Y27" s="63" t="str">
        <f t="shared" si="40"/>
        <v>-</v>
      </c>
      <c r="Z27" s="64" t="str">
        <f t="shared" si="41"/>
        <v>-</v>
      </c>
      <c r="AJ27" s="62" t="str">
        <f>IF(U24="","-",TRUNC(U24))</f>
        <v>-</v>
      </c>
      <c r="AK27" s="63" t="str">
        <f>IF(U24="","-",TRUNC((U24-AJ27)*60))</f>
        <v>-</v>
      </c>
      <c r="AL27" s="64" t="str">
        <f>IF(U24="","-",((U24-AJ27)*60-AK27)*60)</f>
        <v>-</v>
      </c>
      <c r="AM27" s="57"/>
      <c r="AN27" s="57"/>
      <c r="AO27" s="70"/>
      <c r="AU27" s="51">
        <f t="shared" si="42"/>
        <v>5</v>
      </c>
      <c r="AV27" s="282" t="str">
        <f t="shared" si="43"/>
        <v/>
      </c>
      <c r="AW27" s="26" t="str">
        <f t="shared" si="44"/>
        <v/>
      </c>
      <c r="AX27" s="282" t="str">
        <f t="shared" si="45"/>
        <v/>
      </c>
      <c r="AY27" s="26" t="str">
        <f t="shared" si="46"/>
        <v/>
      </c>
      <c r="AZ27" s="40" t="str">
        <f t="shared" si="47"/>
        <v/>
      </c>
      <c r="BA27" s="26" t="str">
        <f t="shared" si="48"/>
        <v/>
      </c>
      <c r="BB27" s="40" t="str">
        <f t="shared" si="49"/>
        <v/>
      </c>
      <c r="BC27" s="26" t="str">
        <f t="shared" si="50"/>
        <v/>
      </c>
      <c r="BD27" s="26" t="str">
        <f t="shared" si="51"/>
        <v/>
      </c>
      <c r="BF27" s="101" t="str">
        <f>IF(BF25="4 SET",BF25,IF(BF24="3 SET",BF24,IF(BF23="2 SET",BF23,IF(BF22="1 SET",BF22,""))))</f>
        <v/>
      </c>
      <c r="BG27" s="71" t="str">
        <f>IF(AU21="","",VLOOKUP(BF27,BF22:BJ25,2,FALSE))</f>
        <v/>
      </c>
      <c r="BH27" s="72" t="str">
        <f>IF(AU21="","",VLOOKUP(BF27,BF22:BJ25,3,FALSE))</f>
        <v/>
      </c>
      <c r="BI27" s="71" t="s">
        <v>62</v>
      </c>
      <c r="BJ27" s="71" t="s">
        <v>62</v>
      </c>
      <c r="BK27" s="72" t="str">
        <f>IF(AU21="","",VLOOKUP(BF27,BF22:BK25,6,FALSE))</f>
        <v/>
      </c>
      <c r="BL27" s="71" t="s">
        <v>62</v>
      </c>
      <c r="BN27" s="42">
        <v>7</v>
      </c>
      <c r="BO27" s="97">
        <v>25</v>
      </c>
      <c r="BR27" s="26"/>
      <c r="BT27" s="26"/>
      <c r="BU27" s="40"/>
      <c r="BV27" s="26"/>
      <c r="BW27" s="40"/>
      <c r="BX27" s="26"/>
      <c r="BZ27" s="42">
        <v>7</v>
      </c>
      <c r="CA27" s="97">
        <v>25</v>
      </c>
      <c r="CD27" s="26"/>
      <c r="CF27" s="26"/>
      <c r="CG27" s="40"/>
      <c r="CH27" s="26"/>
      <c r="CI27" s="40"/>
      <c r="CJ27" s="26"/>
      <c r="CK27" s="26"/>
    </row>
    <row r="28" spans="1:89" ht="9.9499999999999993" customHeight="1">
      <c r="A28" s="28" t="str">
        <f t="shared" si="32"/>
        <v/>
      </c>
      <c r="B28" s="46" t="str">
        <f t="shared" si="33"/>
        <v/>
      </c>
      <c r="C28" s="47" t="str">
        <f t="shared" si="34"/>
        <v/>
      </c>
      <c r="D28" s="55" t="str">
        <f t="shared" si="28"/>
        <v/>
      </c>
      <c r="E28" s="56" t="str">
        <f t="shared" si="29"/>
        <v/>
      </c>
      <c r="F28" s="35" t="str">
        <f t="shared" si="35"/>
        <v/>
      </c>
      <c r="G28" s="49" t="str">
        <f t="shared" si="36"/>
        <v/>
      </c>
      <c r="H28" s="50" t="str">
        <f t="shared" si="37"/>
        <v/>
      </c>
      <c r="I28" s="57" t="s">
        <v>59</v>
      </c>
      <c r="J28" s="57" t="s">
        <v>32</v>
      </c>
      <c r="K28" s="58" t="str">
        <f t="shared" si="30"/>
        <v/>
      </c>
      <c r="L28" s="59" t="str">
        <f t="shared" si="30"/>
        <v/>
      </c>
      <c r="M28" s="60" t="str">
        <f t="shared" si="30"/>
        <v/>
      </c>
      <c r="N28" s="61" t="str">
        <f t="shared" si="31"/>
        <v/>
      </c>
      <c r="O28" s="61" t="str">
        <f>IF(OR(N27="",N28=""),"",N28-N27)</f>
        <v/>
      </c>
      <c r="P28" s="32" t="b">
        <v>1</v>
      </c>
      <c r="Q28" s="61" t="str">
        <f t="shared" ref="Q28:Q29" si="52">IF(P28=TRUE,IF(O28="","",IF(O28&gt;360,(O28-360),IF(O28&lt;0,(O28+360),O28))),IF(O28="","",IF(O28&gt;360,(O28-360),IF(O28&lt;0,(O28+360),O28))))</f>
        <v/>
      </c>
      <c r="R28" s="32" t="b">
        <v>1</v>
      </c>
      <c r="S28" s="61" t="str">
        <f>IF(AND(P28=TRUE,P29=TRUE),IF(AND(Q28="",Q29=""),"",AVERAGE(Q28:Q29)),IF(P28=TRUE,Q28,IF(P29=TRUE,Q29,"")))</f>
        <v/>
      </c>
      <c r="X28" s="62" t="str">
        <f t="shared" si="39"/>
        <v>-</v>
      </c>
      <c r="Y28" s="63" t="str">
        <f t="shared" si="40"/>
        <v>-</v>
      </c>
      <c r="Z28" s="64" t="str">
        <f t="shared" si="41"/>
        <v>-</v>
      </c>
      <c r="AB28" s="62" t="str">
        <f>IF(Q28="","-",TRUNC(Q28))</f>
        <v>-</v>
      </c>
      <c r="AC28" s="63" t="str">
        <f>IF(Q28="","-",TRUNC((Q28-AB28)*60))</f>
        <v>-</v>
      </c>
      <c r="AD28" s="64" t="str">
        <f>IF(Q28="","-",((Q28-AB28)*60-AC28)*60)</f>
        <v>-</v>
      </c>
      <c r="AE28" s="57"/>
      <c r="AF28" s="57"/>
      <c r="AG28" s="57"/>
      <c r="AH28" s="57"/>
      <c r="AI28" s="57"/>
      <c r="AO28" s="69"/>
      <c r="AU28" s="51">
        <f t="shared" si="42"/>
        <v>6</v>
      </c>
      <c r="AV28" s="282" t="str">
        <f t="shared" si="43"/>
        <v/>
      </c>
      <c r="AW28" s="26" t="str">
        <f t="shared" si="44"/>
        <v/>
      </c>
      <c r="AX28" s="282" t="str">
        <f t="shared" si="45"/>
        <v/>
      </c>
      <c r="AY28" s="26" t="str">
        <f t="shared" si="46"/>
        <v/>
      </c>
      <c r="AZ28" s="40" t="str">
        <f t="shared" si="47"/>
        <v/>
      </c>
      <c r="BA28" s="26" t="str">
        <f t="shared" si="48"/>
        <v/>
      </c>
      <c r="BB28" s="40" t="str">
        <f t="shared" si="49"/>
        <v/>
      </c>
      <c r="BC28" s="26" t="str">
        <f t="shared" si="50"/>
        <v/>
      </c>
      <c r="BD28" s="26" t="str">
        <f t="shared" si="51"/>
        <v/>
      </c>
      <c r="BN28" s="100"/>
      <c r="BO28" s="41">
        <v>26</v>
      </c>
      <c r="BR28" s="26"/>
      <c r="BT28" s="26"/>
      <c r="BU28" s="40"/>
      <c r="BV28" s="26"/>
      <c r="BW28" s="40"/>
      <c r="BX28" s="26"/>
      <c r="BZ28" s="100"/>
      <c r="CA28" s="41">
        <v>26</v>
      </c>
      <c r="CD28" s="26"/>
      <c r="CF28" s="26"/>
      <c r="CG28" s="40"/>
      <c r="CH28" s="26"/>
      <c r="CI28" s="40"/>
      <c r="CJ28" s="26"/>
      <c r="CK28" s="26"/>
    </row>
    <row r="29" spans="1:89" ht="9.9499999999999993" customHeight="1">
      <c r="A29" s="28" t="str">
        <f t="shared" si="32"/>
        <v/>
      </c>
      <c r="B29" s="46" t="str">
        <f t="shared" si="33"/>
        <v/>
      </c>
      <c r="C29" s="47" t="str">
        <f t="shared" si="34"/>
        <v/>
      </c>
      <c r="D29" s="55" t="str">
        <f t="shared" si="28"/>
        <v/>
      </c>
      <c r="E29" s="56" t="str">
        <f t="shared" si="29"/>
        <v/>
      </c>
      <c r="F29" s="35" t="str">
        <f t="shared" si="35"/>
        <v/>
      </c>
      <c r="G29" s="49" t="str">
        <f t="shared" si="36"/>
        <v/>
      </c>
      <c r="H29" s="50" t="str">
        <f t="shared" si="37"/>
        <v/>
      </c>
      <c r="I29" s="57" t="s">
        <v>59</v>
      </c>
      <c r="J29" s="57" t="s">
        <v>60</v>
      </c>
      <c r="K29" s="58" t="str">
        <f t="shared" si="30"/>
        <v/>
      </c>
      <c r="L29" s="59" t="str">
        <f t="shared" si="30"/>
        <v/>
      </c>
      <c r="M29" s="60" t="str">
        <f t="shared" si="30"/>
        <v/>
      </c>
      <c r="N29" s="61" t="str">
        <f t="shared" si="31"/>
        <v/>
      </c>
      <c r="O29" s="61" t="str">
        <f>IF(OR(N29="",N30=""),"",N29-N30)</f>
        <v/>
      </c>
      <c r="P29" s="32" t="b">
        <v>1</v>
      </c>
      <c r="Q29" s="61" t="str">
        <f t="shared" si="52"/>
        <v/>
      </c>
      <c r="X29" s="62" t="str">
        <f t="shared" si="39"/>
        <v>-</v>
      </c>
      <c r="Y29" s="63" t="str">
        <f t="shared" si="40"/>
        <v>-</v>
      </c>
      <c r="Z29" s="64" t="str">
        <f t="shared" si="41"/>
        <v>-</v>
      </c>
      <c r="AB29" s="62" t="str">
        <f>IF(Q29="","-",TRUNC(Q29))</f>
        <v>-</v>
      </c>
      <c r="AC29" s="63" t="str">
        <f>IF(Q29="","-",TRUNC((Q29-AB29)*60))</f>
        <v>-</v>
      </c>
      <c r="AD29" s="64" t="str">
        <f>IF(Q29="","-",((Q29-AB29)*60-AC29)*60)</f>
        <v>-</v>
      </c>
      <c r="AF29" s="62" t="str">
        <f>IF(S28="","-",TRUNC(S28))</f>
        <v>-</v>
      </c>
      <c r="AG29" s="63" t="str">
        <f>IF(S28="","-",TRUNC((S28-AF29)*60))</f>
        <v>-</v>
      </c>
      <c r="AH29" s="64" t="str">
        <f>IF(S28="","-",((S28-AF29)*60-AG29)*60)</f>
        <v>-</v>
      </c>
      <c r="AO29" s="69"/>
      <c r="AU29" s="51">
        <f t="shared" si="42"/>
        <v>7</v>
      </c>
      <c r="AV29" s="282" t="str">
        <f t="shared" si="43"/>
        <v/>
      </c>
      <c r="AW29" s="26" t="str">
        <f t="shared" si="44"/>
        <v/>
      </c>
      <c r="AX29" s="282" t="str">
        <f t="shared" si="45"/>
        <v/>
      </c>
      <c r="AY29" s="26" t="str">
        <f t="shared" si="46"/>
        <v/>
      </c>
      <c r="AZ29" s="40" t="str">
        <f t="shared" si="47"/>
        <v/>
      </c>
      <c r="BA29" s="26" t="str">
        <f t="shared" si="48"/>
        <v/>
      </c>
      <c r="BB29" s="40" t="str">
        <f t="shared" si="49"/>
        <v/>
      </c>
      <c r="BC29" s="26" t="str">
        <f t="shared" si="50"/>
        <v/>
      </c>
      <c r="BD29" s="26" t="str">
        <f t="shared" si="51"/>
        <v/>
      </c>
      <c r="BN29" s="100"/>
      <c r="BO29" s="41">
        <v>27</v>
      </c>
      <c r="BR29" s="26"/>
      <c r="BT29" s="26"/>
      <c r="BU29" s="40"/>
      <c r="BV29" s="26"/>
      <c r="BW29" s="40"/>
      <c r="BX29" s="26"/>
      <c r="BZ29" s="100"/>
      <c r="CA29" s="41">
        <v>27</v>
      </c>
      <c r="CD29" s="26"/>
      <c r="CF29" s="26"/>
      <c r="CG29" s="40"/>
      <c r="CH29" s="26"/>
      <c r="CI29" s="40"/>
      <c r="CJ29" s="26"/>
      <c r="CK29" s="26"/>
    </row>
    <row r="30" spans="1:89" ht="9.9499999999999993" customHeight="1">
      <c r="A30" s="28" t="str">
        <f t="shared" si="32"/>
        <v/>
      </c>
      <c r="B30" s="46" t="str">
        <f t="shared" si="33"/>
        <v/>
      </c>
      <c r="C30" s="47" t="str">
        <f t="shared" si="34"/>
        <v/>
      </c>
      <c r="D30" s="55" t="str">
        <f t="shared" si="28"/>
        <v/>
      </c>
      <c r="E30" s="56" t="str">
        <f t="shared" si="29"/>
        <v/>
      </c>
      <c r="F30" s="35" t="str">
        <f t="shared" si="35"/>
        <v/>
      </c>
      <c r="G30" s="49" t="str">
        <f t="shared" si="36"/>
        <v/>
      </c>
      <c r="H30" s="50" t="str">
        <f t="shared" si="37"/>
        <v/>
      </c>
      <c r="I30" s="57" t="s">
        <v>12</v>
      </c>
      <c r="J30" s="57" t="s">
        <v>60</v>
      </c>
      <c r="K30" s="58" t="str">
        <f t="shared" si="30"/>
        <v/>
      </c>
      <c r="L30" s="59" t="str">
        <f t="shared" si="30"/>
        <v/>
      </c>
      <c r="M30" s="60" t="str">
        <f t="shared" si="30"/>
        <v/>
      </c>
      <c r="N30" s="61" t="str">
        <f t="shared" si="31"/>
        <v/>
      </c>
      <c r="V30" s="61" t="str">
        <f>IF(AND(T24=TRUE,T32=TRUE),IF(AND(U24="",U32=""),"",AVERAGE(U24,U32)),IF(T24=TRUE,U24,IF(T32=TRUE,U32,"")))</f>
        <v/>
      </c>
      <c r="X30" s="62" t="str">
        <f t="shared" si="39"/>
        <v>-</v>
      </c>
      <c r="Y30" s="63" t="str">
        <f t="shared" si="40"/>
        <v>-</v>
      </c>
      <c r="Z30" s="64" t="str">
        <f t="shared" si="41"/>
        <v>-</v>
      </c>
      <c r="AM30" s="62" t="str">
        <f>IF(V30="","-",TRUNC(V30))</f>
        <v>-</v>
      </c>
      <c r="AN30" s="63" t="str">
        <f>IF(V30="","-",TRUNC((V30-AM30)*60))</f>
        <v>-</v>
      </c>
      <c r="AO30" s="64" t="str">
        <f>IF(V30="","-",((V30-AM30)*60-AN30)*60)</f>
        <v>-</v>
      </c>
      <c r="AP30" s="32" t="str">
        <f>IF(BG27="","",BG27)</f>
        <v/>
      </c>
      <c r="AU30" s="51">
        <f t="shared" si="42"/>
        <v>8</v>
      </c>
      <c r="AV30" s="282" t="str">
        <f t="shared" si="43"/>
        <v/>
      </c>
      <c r="AW30" s="26" t="str">
        <f t="shared" si="44"/>
        <v/>
      </c>
      <c r="AX30" s="282" t="str">
        <f t="shared" si="45"/>
        <v/>
      </c>
      <c r="AY30" s="26" t="str">
        <f t="shared" si="46"/>
        <v/>
      </c>
      <c r="AZ30" s="40" t="str">
        <f t="shared" si="47"/>
        <v/>
      </c>
      <c r="BA30" s="26" t="str">
        <f t="shared" si="48"/>
        <v/>
      </c>
      <c r="BB30" s="40" t="str">
        <f t="shared" si="49"/>
        <v/>
      </c>
      <c r="BC30" s="26" t="str">
        <f t="shared" si="50"/>
        <v/>
      </c>
      <c r="BD30" s="26" t="str">
        <f t="shared" si="51"/>
        <v/>
      </c>
      <c r="BN30" s="100"/>
      <c r="BO30" s="41">
        <v>28</v>
      </c>
      <c r="BR30" s="26"/>
      <c r="BT30" s="26"/>
      <c r="BU30" s="40"/>
      <c r="BV30" s="26"/>
      <c r="BW30" s="40"/>
      <c r="BX30" s="26"/>
      <c r="BZ30" s="100"/>
      <c r="CA30" s="41">
        <v>28</v>
      </c>
      <c r="CD30" s="26"/>
      <c r="CF30" s="26"/>
      <c r="CG30" s="40"/>
      <c r="CH30" s="26"/>
      <c r="CI30" s="40"/>
      <c r="CJ30" s="26"/>
      <c r="CK30" s="26"/>
    </row>
    <row r="31" spans="1:89" ht="9.9499999999999993" customHeight="1">
      <c r="A31" s="28" t="str">
        <f t="shared" si="32"/>
        <v/>
      </c>
      <c r="B31" s="46" t="str">
        <f t="shared" si="33"/>
        <v/>
      </c>
      <c r="C31" s="47" t="str">
        <f t="shared" si="34"/>
        <v/>
      </c>
      <c r="D31" s="55" t="str">
        <f t="shared" si="28"/>
        <v/>
      </c>
      <c r="E31" s="56" t="str">
        <f t="shared" si="29"/>
        <v/>
      </c>
      <c r="F31" s="35" t="str">
        <f t="shared" si="35"/>
        <v/>
      </c>
      <c r="G31" s="49" t="str">
        <f t="shared" si="36"/>
        <v/>
      </c>
      <c r="H31" s="50" t="str">
        <f t="shared" si="37"/>
        <v/>
      </c>
      <c r="I31" s="57" t="s">
        <v>12</v>
      </c>
      <c r="J31" s="57" t="s">
        <v>32</v>
      </c>
      <c r="K31" s="58" t="str">
        <f t="shared" si="30"/>
        <v/>
      </c>
      <c r="L31" s="59" t="str">
        <f t="shared" si="30"/>
        <v/>
      </c>
      <c r="M31" s="60" t="str">
        <f t="shared" si="30"/>
        <v/>
      </c>
      <c r="N31" s="61" t="str">
        <f t="shared" si="31"/>
        <v/>
      </c>
      <c r="X31" s="62" t="str">
        <f t="shared" si="39"/>
        <v>-</v>
      </c>
      <c r="Y31" s="63" t="str">
        <f t="shared" si="40"/>
        <v>-</v>
      </c>
      <c r="Z31" s="64" t="str">
        <f t="shared" si="41"/>
        <v>-</v>
      </c>
      <c r="AJ31" s="73"/>
      <c r="AK31" s="74"/>
      <c r="AL31" s="75"/>
      <c r="AO31" s="69"/>
      <c r="AP31" s="47" t="str">
        <f>IF(BH27="","",BH27)</f>
        <v/>
      </c>
      <c r="AU31" s="51">
        <f t="shared" si="42"/>
        <v>9</v>
      </c>
      <c r="AV31" s="282" t="str">
        <f t="shared" si="43"/>
        <v/>
      </c>
      <c r="AW31" s="26" t="str">
        <f t="shared" si="44"/>
        <v/>
      </c>
      <c r="AX31" s="282" t="str">
        <f t="shared" si="45"/>
        <v/>
      </c>
      <c r="AY31" s="26" t="str">
        <f t="shared" si="46"/>
        <v/>
      </c>
      <c r="AZ31" s="40" t="str">
        <f t="shared" si="47"/>
        <v/>
      </c>
      <c r="BA31" s="26" t="str">
        <f t="shared" si="48"/>
        <v/>
      </c>
      <c r="BB31" s="40" t="str">
        <f t="shared" si="49"/>
        <v/>
      </c>
      <c r="BC31" s="26" t="str">
        <f t="shared" si="50"/>
        <v/>
      </c>
      <c r="BD31" s="26" t="str">
        <f t="shared" si="51"/>
        <v/>
      </c>
      <c r="BN31" s="42">
        <v>8</v>
      </c>
      <c r="BO31" s="97">
        <v>29</v>
      </c>
      <c r="BR31" s="26"/>
      <c r="BT31" s="26"/>
      <c r="BU31" s="40"/>
      <c r="BV31" s="26"/>
      <c r="BW31" s="40"/>
      <c r="BX31" s="26"/>
      <c r="BZ31" s="42">
        <v>8</v>
      </c>
      <c r="CA31" s="97">
        <v>29</v>
      </c>
      <c r="CD31" s="26"/>
      <c r="CF31" s="26"/>
      <c r="CG31" s="40"/>
      <c r="CH31" s="26"/>
      <c r="CI31" s="40"/>
      <c r="CJ31" s="26"/>
      <c r="CK31" s="26"/>
    </row>
    <row r="32" spans="1:89" ht="9.9499999999999993" customHeight="1">
      <c r="A32" s="28" t="str">
        <f t="shared" si="32"/>
        <v/>
      </c>
      <c r="B32" s="46" t="str">
        <f t="shared" si="33"/>
        <v/>
      </c>
      <c r="C32" s="47" t="str">
        <f t="shared" si="34"/>
        <v/>
      </c>
      <c r="D32" s="55" t="str">
        <f t="shared" si="28"/>
        <v/>
      </c>
      <c r="E32" s="56" t="str">
        <f t="shared" si="29"/>
        <v/>
      </c>
      <c r="F32" s="35" t="str">
        <f t="shared" si="35"/>
        <v/>
      </c>
      <c r="G32" s="49" t="str">
        <f t="shared" si="36"/>
        <v/>
      </c>
      <c r="H32" s="50" t="str">
        <f t="shared" si="37"/>
        <v/>
      </c>
      <c r="I32" s="57" t="s">
        <v>59</v>
      </c>
      <c r="J32" s="57" t="s">
        <v>32</v>
      </c>
      <c r="K32" s="58" t="str">
        <f t="shared" si="30"/>
        <v/>
      </c>
      <c r="L32" s="59" t="str">
        <f t="shared" si="30"/>
        <v/>
      </c>
      <c r="M32" s="60" t="str">
        <f t="shared" si="30"/>
        <v/>
      </c>
      <c r="N32" s="61" t="str">
        <f t="shared" si="31"/>
        <v/>
      </c>
      <c r="O32" s="61" t="str">
        <f>IF(OR(N31="",N32=""),"",N32-N31)</f>
        <v/>
      </c>
      <c r="P32" s="32" t="b">
        <v>1</v>
      </c>
      <c r="Q32" s="61" t="str">
        <f t="shared" ref="Q32:Q33" si="53">IF(P32=TRUE,IF(O32="","",IF(O32&gt;360,(O32-360),IF(O32&lt;0,(O32+360),O32))),IF(O32="","",IF(O32&gt;360,(O32-360),IF(O32&lt;0,(O32+360),O32))))</f>
        <v/>
      </c>
      <c r="R32" s="32" t="b">
        <v>1</v>
      </c>
      <c r="S32" s="61" t="str">
        <f>IF(AND(P32=TRUE,P33=TRUE),IF(AND(Q32="",Q33=""),"",AVERAGE(Q32:Q33)),IF(P32=TRUE,Q32,IF(P33=TRUE,Q33,"")))</f>
        <v/>
      </c>
      <c r="T32" s="32" t="b">
        <v>1</v>
      </c>
      <c r="U32" s="61" t="str">
        <f>IF(AND(R32=TRUE,R36=TRUE),IF(AND(S32="",S36=""),"",AVERAGE(S32,S36)),IF(R32=TRUE,S32,IF(R36=TRUE,S36,"")))</f>
        <v/>
      </c>
      <c r="X32" s="62" t="str">
        <f t="shared" si="39"/>
        <v>-</v>
      </c>
      <c r="Y32" s="63" t="str">
        <f t="shared" si="40"/>
        <v>-</v>
      </c>
      <c r="Z32" s="64" t="str">
        <f t="shared" si="41"/>
        <v>-</v>
      </c>
      <c r="AB32" s="62" t="str">
        <f>IF(Q32="","-",TRUNC(Q32))</f>
        <v>-</v>
      </c>
      <c r="AC32" s="63" t="str">
        <f>IF(Q32="","-",TRUNC((Q32-AB32)*60))</f>
        <v>-</v>
      </c>
      <c r="AD32" s="64" t="str">
        <f>IF(Q32="","-",((Q32-AB32)*60-AC32)*60)</f>
        <v>-</v>
      </c>
      <c r="AE32" s="57"/>
      <c r="AJ32" s="57"/>
      <c r="AK32" s="57"/>
      <c r="AL32" s="57"/>
      <c r="AO32" s="69"/>
      <c r="AP32" s="47" t="str">
        <f>IF(BK27="","",BK27)</f>
        <v/>
      </c>
      <c r="AU32" s="51">
        <f t="shared" si="42"/>
        <v>10</v>
      </c>
      <c r="AV32" s="282" t="str">
        <f t="shared" si="43"/>
        <v/>
      </c>
      <c r="AW32" s="26" t="str">
        <f t="shared" si="44"/>
        <v/>
      </c>
      <c r="AX32" s="282" t="str">
        <f t="shared" si="45"/>
        <v/>
      </c>
      <c r="AY32" s="26" t="str">
        <f t="shared" si="46"/>
        <v/>
      </c>
      <c r="AZ32" s="40" t="str">
        <f t="shared" si="47"/>
        <v/>
      </c>
      <c r="BA32" s="26" t="str">
        <f t="shared" si="48"/>
        <v/>
      </c>
      <c r="BB32" s="40" t="str">
        <f t="shared" si="49"/>
        <v/>
      </c>
      <c r="BC32" s="26" t="str">
        <f t="shared" si="50"/>
        <v/>
      </c>
      <c r="BD32" s="26" t="str">
        <f t="shared" si="51"/>
        <v/>
      </c>
      <c r="BN32" s="100"/>
      <c r="BO32" s="41">
        <v>30</v>
      </c>
      <c r="BR32" s="26"/>
      <c r="BT32" s="26"/>
      <c r="BU32" s="40"/>
      <c r="BV32" s="26"/>
      <c r="BW32" s="40"/>
      <c r="BX32" s="26"/>
      <c r="BZ32" s="100"/>
      <c r="CA32" s="41">
        <v>30</v>
      </c>
      <c r="CD32" s="26"/>
      <c r="CF32" s="26"/>
      <c r="CG32" s="40"/>
      <c r="CH32" s="26"/>
      <c r="CI32" s="40"/>
      <c r="CJ32" s="26"/>
      <c r="CK32" s="26"/>
    </row>
    <row r="33" spans="1:89" ht="9.9499999999999993" customHeight="1">
      <c r="A33" s="28" t="str">
        <f t="shared" si="32"/>
        <v/>
      </c>
      <c r="B33" s="46" t="str">
        <f t="shared" si="33"/>
        <v/>
      </c>
      <c r="C33" s="47" t="str">
        <f t="shared" si="34"/>
        <v/>
      </c>
      <c r="D33" s="55" t="str">
        <f t="shared" si="28"/>
        <v/>
      </c>
      <c r="E33" s="56" t="str">
        <f t="shared" si="29"/>
        <v/>
      </c>
      <c r="F33" s="35" t="str">
        <f t="shared" si="35"/>
        <v/>
      </c>
      <c r="G33" s="49" t="str">
        <f t="shared" si="36"/>
        <v/>
      </c>
      <c r="H33" s="50" t="str">
        <f t="shared" si="37"/>
        <v/>
      </c>
      <c r="I33" s="57" t="s">
        <v>59</v>
      </c>
      <c r="J33" s="57" t="s">
        <v>60</v>
      </c>
      <c r="K33" s="58" t="str">
        <f t="shared" si="30"/>
        <v/>
      </c>
      <c r="L33" s="59" t="str">
        <f t="shared" si="30"/>
        <v/>
      </c>
      <c r="M33" s="60" t="str">
        <f t="shared" si="30"/>
        <v/>
      </c>
      <c r="N33" s="61" t="str">
        <f t="shared" si="31"/>
        <v/>
      </c>
      <c r="O33" s="61" t="str">
        <f>IF(OR(N33="",N34=""),"",N33-N34)</f>
        <v/>
      </c>
      <c r="P33" s="32" t="b">
        <v>1</v>
      </c>
      <c r="Q33" s="61" t="str">
        <f t="shared" si="53"/>
        <v/>
      </c>
      <c r="X33" s="62" t="str">
        <f t="shared" si="39"/>
        <v>-</v>
      </c>
      <c r="Y33" s="63" t="str">
        <f t="shared" si="40"/>
        <v>-</v>
      </c>
      <c r="Z33" s="64" t="str">
        <f t="shared" si="41"/>
        <v>-</v>
      </c>
      <c r="AB33" s="62" t="str">
        <f>IF(Q33="","-",TRUNC(Q33))</f>
        <v>-</v>
      </c>
      <c r="AC33" s="63" t="str">
        <f>IF(Q33="","-",TRUNC((Q33-AB33)*60))</f>
        <v>-</v>
      </c>
      <c r="AD33" s="64" t="str">
        <f>IF(Q33="","-",((Q33-AB33)*60-AC33)*60)</f>
        <v>-</v>
      </c>
      <c r="AF33" s="62" t="str">
        <f>IF(S32="","-",TRUNC(S32))</f>
        <v>-</v>
      </c>
      <c r="AG33" s="63" t="str">
        <f>IF(S32="","-",TRUNC((S32-AF33)*60))</f>
        <v>-</v>
      </c>
      <c r="AH33" s="64" t="str">
        <f>IF(S32="","-",((S32-AF33)*60-AG33)*60)</f>
        <v>-</v>
      </c>
      <c r="AJ33" s="57"/>
      <c r="AK33" s="57"/>
      <c r="AL33" s="57"/>
      <c r="AO33" s="69"/>
      <c r="AU33" s="51">
        <f t="shared" si="42"/>
        <v>11</v>
      </c>
      <c r="AV33" s="282" t="str">
        <f t="shared" si="43"/>
        <v/>
      </c>
      <c r="AW33" s="26" t="str">
        <f t="shared" si="44"/>
        <v/>
      </c>
      <c r="AX33" s="282" t="str">
        <f t="shared" si="45"/>
        <v/>
      </c>
      <c r="AY33" s="26" t="str">
        <f t="shared" si="46"/>
        <v/>
      </c>
      <c r="AZ33" s="40" t="str">
        <f t="shared" si="47"/>
        <v/>
      </c>
      <c r="BA33" s="26" t="str">
        <f t="shared" si="48"/>
        <v/>
      </c>
      <c r="BB33" s="40" t="str">
        <f t="shared" si="49"/>
        <v/>
      </c>
      <c r="BC33" s="26" t="str">
        <f t="shared" si="50"/>
        <v/>
      </c>
      <c r="BD33" s="26" t="str">
        <f t="shared" si="51"/>
        <v/>
      </c>
      <c r="BN33" s="100"/>
      <c r="BO33" s="41">
        <v>31</v>
      </c>
      <c r="BR33" s="26"/>
      <c r="BT33" s="26"/>
      <c r="BU33" s="40"/>
      <c r="BV33" s="26"/>
      <c r="BW33" s="40"/>
      <c r="BX33" s="26"/>
      <c r="BZ33" s="100"/>
      <c r="CA33" s="41">
        <v>31</v>
      </c>
      <c r="CD33" s="26"/>
      <c r="CF33" s="26"/>
      <c r="CG33" s="40"/>
      <c r="CH33" s="26"/>
      <c r="CI33" s="40"/>
      <c r="CJ33" s="26"/>
      <c r="CK33" s="26"/>
    </row>
    <row r="34" spans="1:89" ht="9.9499999999999993" customHeight="1">
      <c r="A34" s="28" t="str">
        <f t="shared" si="32"/>
        <v/>
      </c>
      <c r="B34" s="46" t="str">
        <f t="shared" si="33"/>
        <v/>
      </c>
      <c r="C34" s="47" t="str">
        <f t="shared" si="34"/>
        <v/>
      </c>
      <c r="D34" s="55" t="str">
        <f t="shared" si="28"/>
        <v/>
      </c>
      <c r="E34" s="56" t="str">
        <f t="shared" si="29"/>
        <v/>
      </c>
      <c r="F34" s="35" t="str">
        <f t="shared" si="35"/>
        <v/>
      </c>
      <c r="G34" s="49" t="str">
        <f t="shared" si="36"/>
        <v/>
      </c>
      <c r="H34" s="50" t="str">
        <f t="shared" si="37"/>
        <v/>
      </c>
      <c r="I34" s="57" t="s">
        <v>12</v>
      </c>
      <c r="J34" s="57" t="s">
        <v>60</v>
      </c>
      <c r="K34" s="58" t="str">
        <f t="shared" si="30"/>
        <v/>
      </c>
      <c r="L34" s="59" t="str">
        <f t="shared" si="30"/>
        <v/>
      </c>
      <c r="M34" s="60" t="str">
        <f t="shared" si="30"/>
        <v/>
      </c>
      <c r="N34" s="61" t="str">
        <f t="shared" si="31"/>
        <v/>
      </c>
      <c r="X34" s="62" t="str">
        <f t="shared" si="39"/>
        <v>-</v>
      </c>
      <c r="Y34" s="63" t="str">
        <f t="shared" si="40"/>
        <v>-</v>
      </c>
      <c r="Z34" s="64" t="str">
        <f t="shared" si="41"/>
        <v>-</v>
      </c>
      <c r="AO34" s="69"/>
      <c r="AU34" s="51">
        <f t="shared" si="42"/>
        <v>12</v>
      </c>
      <c r="AV34" s="282" t="str">
        <f t="shared" si="43"/>
        <v/>
      </c>
      <c r="AW34" s="26" t="str">
        <f t="shared" si="44"/>
        <v/>
      </c>
      <c r="AX34" s="282" t="str">
        <f t="shared" si="45"/>
        <v/>
      </c>
      <c r="AY34" s="26" t="str">
        <f t="shared" si="46"/>
        <v/>
      </c>
      <c r="AZ34" s="40" t="str">
        <f t="shared" si="47"/>
        <v/>
      </c>
      <c r="BA34" s="26" t="str">
        <f t="shared" si="48"/>
        <v/>
      </c>
      <c r="BB34" s="40" t="str">
        <f t="shared" si="49"/>
        <v/>
      </c>
      <c r="BC34" s="26" t="str">
        <f t="shared" si="50"/>
        <v/>
      </c>
      <c r="BD34" s="26" t="str">
        <f t="shared" si="51"/>
        <v/>
      </c>
      <c r="BN34" s="100"/>
      <c r="BO34" s="41">
        <v>32</v>
      </c>
      <c r="BR34" s="26"/>
      <c r="BT34" s="26"/>
      <c r="BU34" s="40"/>
      <c r="BV34" s="26"/>
      <c r="BW34" s="40"/>
      <c r="BX34" s="26"/>
      <c r="BZ34" s="100"/>
      <c r="CA34" s="41">
        <v>32</v>
      </c>
      <c r="CD34" s="26"/>
      <c r="CF34" s="26"/>
      <c r="CG34" s="40"/>
      <c r="CH34" s="26"/>
      <c r="CI34" s="40"/>
      <c r="CJ34" s="26"/>
      <c r="CK34" s="26"/>
    </row>
    <row r="35" spans="1:89" ht="9.9499999999999993" customHeight="1">
      <c r="A35" s="28" t="str">
        <f t="shared" si="32"/>
        <v/>
      </c>
      <c r="B35" s="46" t="str">
        <f t="shared" si="33"/>
        <v/>
      </c>
      <c r="C35" s="47" t="str">
        <f t="shared" si="34"/>
        <v/>
      </c>
      <c r="D35" s="55" t="str">
        <f t="shared" si="28"/>
        <v/>
      </c>
      <c r="E35" s="56" t="str">
        <f t="shared" si="29"/>
        <v/>
      </c>
      <c r="F35" s="35" t="str">
        <f t="shared" si="35"/>
        <v/>
      </c>
      <c r="G35" s="49" t="str">
        <f t="shared" si="36"/>
        <v/>
      </c>
      <c r="H35" s="50" t="str">
        <f t="shared" si="37"/>
        <v/>
      </c>
      <c r="I35" s="57" t="s">
        <v>12</v>
      </c>
      <c r="J35" s="57" t="s">
        <v>32</v>
      </c>
      <c r="K35" s="58" t="str">
        <f t="shared" si="30"/>
        <v/>
      </c>
      <c r="L35" s="59" t="str">
        <f t="shared" si="30"/>
        <v/>
      </c>
      <c r="M35" s="60" t="str">
        <f t="shared" si="30"/>
        <v/>
      </c>
      <c r="N35" s="61" t="str">
        <f t="shared" si="31"/>
        <v/>
      </c>
      <c r="X35" s="62" t="str">
        <f t="shared" si="39"/>
        <v>-</v>
      </c>
      <c r="Y35" s="63" t="str">
        <f t="shared" si="40"/>
        <v>-</v>
      </c>
      <c r="Z35" s="64" t="str">
        <f t="shared" si="41"/>
        <v>-</v>
      </c>
      <c r="AJ35" s="62" t="str">
        <f>IF(U32="","-",TRUNC(U32))</f>
        <v>-</v>
      </c>
      <c r="AK35" s="63" t="str">
        <f>IF(U32="","-",TRUNC((U32-AJ35)*60))</f>
        <v>-</v>
      </c>
      <c r="AL35" s="64" t="str">
        <f>IF(U32="","-",((U32-AJ35)*60-AK35)*60)</f>
        <v>-</v>
      </c>
      <c r="AO35" s="69"/>
      <c r="AU35" s="51">
        <f t="shared" si="42"/>
        <v>13</v>
      </c>
      <c r="AV35" s="282" t="str">
        <f t="shared" si="43"/>
        <v/>
      </c>
      <c r="AW35" s="26" t="str">
        <f t="shared" si="44"/>
        <v/>
      </c>
      <c r="AX35" s="282" t="str">
        <f t="shared" si="45"/>
        <v/>
      </c>
      <c r="AY35" s="26" t="str">
        <f t="shared" si="46"/>
        <v/>
      </c>
      <c r="AZ35" s="40" t="str">
        <f t="shared" si="47"/>
        <v/>
      </c>
      <c r="BA35" s="26" t="str">
        <f t="shared" si="48"/>
        <v/>
      </c>
      <c r="BB35" s="40" t="str">
        <f t="shared" si="49"/>
        <v/>
      </c>
      <c r="BC35" s="26" t="str">
        <f t="shared" si="50"/>
        <v/>
      </c>
      <c r="BD35" s="26" t="str">
        <f t="shared" si="51"/>
        <v/>
      </c>
      <c r="BN35" s="42">
        <v>9</v>
      </c>
      <c r="BO35" s="97">
        <v>33</v>
      </c>
      <c r="BR35" s="26"/>
      <c r="BT35" s="26"/>
      <c r="BU35" s="40"/>
      <c r="BV35" s="26"/>
      <c r="BW35" s="40"/>
      <c r="BX35" s="26"/>
      <c r="BZ35" s="42">
        <v>9</v>
      </c>
      <c r="CA35" s="97">
        <v>33</v>
      </c>
      <c r="CD35" s="26"/>
      <c r="CF35" s="26"/>
      <c r="CG35" s="40"/>
      <c r="CH35" s="26"/>
      <c r="CI35" s="40"/>
      <c r="CJ35" s="26"/>
      <c r="CK35" s="26"/>
    </row>
    <row r="36" spans="1:89" ht="9.9499999999999993" customHeight="1">
      <c r="A36" s="28" t="str">
        <f t="shared" si="32"/>
        <v/>
      </c>
      <c r="B36" s="46" t="str">
        <f t="shared" si="33"/>
        <v/>
      </c>
      <c r="C36" s="47" t="str">
        <f t="shared" si="34"/>
        <v/>
      </c>
      <c r="D36" s="55" t="str">
        <f t="shared" si="28"/>
        <v/>
      </c>
      <c r="E36" s="56" t="str">
        <f t="shared" si="29"/>
        <v/>
      </c>
      <c r="F36" s="35" t="str">
        <f t="shared" si="35"/>
        <v/>
      </c>
      <c r="G36" s="49" t="str">
        <f t="shared" si="36"/>
        <v/>
      </c>
      <c r="H36" s="50" t="str">
        <f t="shared" si="37"/>
        <v/>
      </c>
      <c r="I36" s="57" t="s">
        <v>59</v>
      </c>
      <c r="J36" s="57" t="s">
        <v>32</v>
      </c>
      <c r="K36" s="58" t="str">
        <f t="shared" si="30"/>
        <v/>
      </c>
      <c r="L36" s="59" t="str">
        <f t="shared" si="30"/>
        <v/>
      </c>
      <c r="M36" s="60" t="str">
        <f t="shared" si="30"/>
        <v/>
      </c>
      <c r="N36" s="61" t="str">
        <f t="shared" si="31"/>
        <v/>
      </c>
      <c r="O36" s="61" t="str">
        <f>IF(OR(N35="",N36=""),"",N36-N35)</f>
        <v/>
      </c>
      <c r="P36" s="32" t="b">
        <v>1</v>
      </c>
      <c r="Q36" s="61" t="str">
        <f t="shared" ref="Q36:Q37" si="54">IF(P36=TRUE,IF(O36="","",IF(O36&gt;360,(O36-360),IF(O36&lt;0,(O36+360),O36))),IF(O36="","",IF(O36&gt;360,(O36-360),IF(O36&lt;0,(O36+360),O36))))</f>
        <v/>
      </c>
      <c r="R36" s="32" t="b">
        <v>1</v>
      </c>
      <c r="S36" s="61" t="str">
        <f>IF(AND(P36=TRUE,P37=TRUE),IF(AND(Q36="",Q37=""),"",AVERAGE(Q36:Q37)),IF(P36=TRUE,Q36,IF(P37=TRUE,Q37,"")))</f>
        <v/>
      </c>
      <c r="X36" s="62" t="str">
        <f t="shared" si="39"/>
        <v>-</v>
      </c>
      <c r="Y36" s="63" t="str">
        <f t="shared" si="40"/>
        <v>-</v>
      </c>
      <c r="Z36" s="64" t="str">
        <f t="shared" si="41"/>
        <v>-</v>
      </c>
      <c r="AB36" s="62" t="str">
        <f>IF(Q36="","-",TRUNC(Q36))</f>
        <v>-</v>
      </c>
      <c r="AC36" s="63" t="str">
        <f>IF(Q36="","-",TRUNC((Q36-AB36)*60))</f>
        <v>-</v>
      </c>
      <c r="AD36" s="64" t="str">
        <f>IF(Q36="","-",((Q36-AB36)*60-AC36)*60)</f>
        <v>-</v>
      </c>
      <c r="AE36" s="57"/>
      <c r="AF36" s="57"/>
      <c r="AG36" s="57"/>
      <c r="AH36" s="57"/>
      <c r="AI36" s="57"/>
      <c r="AO36" s="69"/>
      <c r="AU36" s="51">
        <f t="shared" si="42"/>
        <v>14</v>
      </c>
      <c r="AV36" s="282" t="str">
        <f t="shared" si="43"/>
        <v/>
      </c>
      <c r="AW36" s="26" t="str">
        <f t="shared" si="44"/>
        <v/>
      </c>
      <c r="AX36" s="282" t="str">
        <f t="shared" si="45"/>
        <v/>
      </c>
      <c r="AY36" s="26" t="str">
        <f t="shared" si="46"/>
        <v/>
      </c>
      <c r="AZ36" s="40" t="str">
        <f t="shared" si="47"/>
        <v/>
      </c>
      <c r="BA36" s="26" t="str">
        <f t="shared" si="48"/>
        <v/>
      </c>
      <c r="BB36" s="40" t="str">
        <f t="shared" si="49"/>
        <v/>
      </c>
      <c r="BC36" s="26" t="str">
        <f t="shared" si="50"/>
        <v/>
      </c>
      <c r="BD36" s="26" t="str">
        <f t="shared" si="51"/>
        <v/>
      </c>
      <c r="BN36" s="100"/>
      <c r="BO36" s="41">
        <v>34</v>
      </c>
      <c r="BR36" s="26"/>
      <c r="BT36" s="26"/>
      <c r="BU36" s="40"/>
      <c r="BV36" s="26"/>
      <c r="BW36" s="40"/>
      <c r="BX36" s="26"/>
      <c r="BZ36" s="100"/>
      <c r="CA36" s="41">
        <v>34</v>
      </c>
      <c r="CD36" s="26"/>
      <c r="CF36" s="26"/>
      <c r="CG36" s="40"/>
      <c r="CH36" s="26"/>
      <c r="CI36" s="40"/>
      <c r="CJ36" s="26"/>
      <c r="CK36" s="26"/>
    </row>
    <row r="37" spans="1:89" ht="9.9499999999999993" customHeight="1">
      <c r="A37" s="28" t="str">
        <f t="shared" si="32"/>
        <v/>
      </c>
      <c r="B37" s="46" t="str">
        <f t="shared" si="33"/>
        <v/>
      </c>
      <c r="C37" s="47" t="str">
        <f t="shared" si="34"/>
        <v/>
      </c>
      <c r="D37" s="55" t="str">
        <f t="shared" si="28"/>
        <v/>
      </c>
      <c r="E37" s="56" t="str">
        <f t="shared" si="29"/>
        <v/>
      </c>
      <c r="F37" s="35" t="str">
        <f t="shared" si="35"/>
        <v/>
      </c>
      <c r="G37" s="49" t="str">
        <f t="shared" si="36"/>
        <v/>
      </c>
      <c r="H37" s="50" t="str">
        <f t="shared" si="37"/>
        <v/>
      </c>
      <c r="I37" s="57" t="s">
        <v>59</v>
      </c>
      <c r="J37" s="57" t="s">
        <v>60</v>
      </c>
      <c r="K37" s="58" t="str">
        <f t="shared" si="30"/>
        <v/>
      </c>
      <c r="L37" s="59" t="str">
        <f t="shared" si="30"/>
        <v/>
      </c>
      <c r="M37" s="60" t="str">
        <f t="shared" si="30"/>
        <v/>
      </c>
      <c r="N37" s="61" t="str">
        <f t="shared" si="31"/>
        <v/>
      </c>
      <c r="O37" s="61" t="str">
        <f>IF(OR(N37="",N38=""),"",N37-N38)</f>
        <v/>
      </c>
      <c r="P37" s="32" t="b">
        <v>1</v>
      </c>
      <c r="Q37" s="61" t="str">
        <f t="shared" si="54"/>
        <v/>
      </c>
      <c r="X37" s="62" t="str">
        <f t="shared" si="39"/>
        <v>-</v>
      </c>
      <c r="Y37" s="63" t="str">
        <f t="shared" si="40"/>
        <v>-</v>
      </c>
      <c r="Z37" s="64" t="str">
        <f t="shared" si="41"/>
        <v>-</v>
      </c>
      <c r="AB37" s="62" t="str">
        <f>IF(Q37="","-",TRUNC(Q37))</f>
        <v>-</v>
      </c>
      <c r="AC37" s="63" t="str">
        <f>IF(Q37="","-",TRUNC((Q37-AB37)*60))</f>
        <v>-</v>
      </c>
      <c r="AD37" s="64" t="str">
        <f>IF(Q37="","-",((Q37-AB37)*60-AC37)*60)</f>
        <v>-</v>
      </c>
      <c r="AF37" s="62" t="str">
        <f>IF(S36="","-",TRUNC(S36))</f>
        <v>-</v>
      </c>
      <c r="AG37" s="63" t="str">
        <f>IF(S36="","-",TRUNC((S36-AF37)*60))</f>
        <v>-</v>
      </c>
      <c r="AH37" s="64" t="str">
        <f>IF(S36="","-",((S36-AF37)*60-AG37)*60)</f>
        <v>-</v>
      </c>
      <c r="AO37" s="69"/>
      <c r="AU37" s="51">
        <f t="shared" si="42"/>
        <v>15</v>
      </c>
      <c r="AV37" s="282" t="str">
        <f t="shared" si="43"/>
        <v/>
      </c>
      <c r="AW37" s="26" t="str">
        <f t="shared" si="44"/>
        <v/>
      </c>
      <c r="AX37" s="282" t="str">
        <f t="shared" si="45"/>
        <v/>
      </c>
      <c r="AY37" s="26" t="str">
        <f t="shared" si="46"/>
        <v/>
      </c>
      <c r="AZ37" s="40" t="str">
        <f t="shared" si="47"/>
        <v/>
      </c>
      <c r="BA37" s="26" t="str">
        <f t="shared" si="48"/>
        <v/>
      </c>
      <c r="BB37" s="40" t="str">
        <f t="shared" si="49"/>
        <v/>
      </c>
      <c r="BC37" s="26" t="str">
        <f t="shared" si="50"/>
        <v/>
      </c>
      <c r="BD37" s="26" t="str">
        <f t="shared" si="51"/>
        <v/>
      </c>
      <c r="BN37" s="100"/>
      <c r="BO37" s="41">
        <v>35</v>
      </c>
      <c r="BR37" s="26"/>
      <c r="BT37" s="26"/>
      <c r="BU37" s="40"/>
      <c r="BV37" s="26"/>
      <c r="BW37" s="40"/>
      <c r="BX37" s="26"/>
      <c r="BZ37" s="100"/>
      <c r="CA37" s="41">
        <v>35</v>
      </c>
      <c r="CD37" s="26"/>
      <c r="CF37" s="26"/>
      <c r="CG37" s="40"/>
      <c r="CH37" s="26"/>
      <c r="CI37" s="40"/>
      <c r="CJ37" s="26"/>
      <c r="CK37" s="26"/>
    </row>
    <row r="38" spans="1:89" ht="9.9499999999999993" customHeight="1">
      <c r="A38" s="28" t="str">
        <f t="shared" si="32"/>
        <v/>
      </c>
      <c r="B38" s="46" t="str">
        <f t="shared" si="33"/>
        <v/>
      </c>
      <c r="C38" s="47" t="str">
        <f t="shared" si="34"/>
        <v/>
      </c>
      <c r="D38" s="55" t="str">
        <f t="shared" si="28"/>
        <v/>
      </c>
      <c r="E38" s="56" t="str">
        <f t="shared" si="29"/>
        <v/>
      </c>
      <c r="F38" s="35" t="str">
        <f t="shared" si="35"/>
        <v/>
      </c>
      <c r="G38" s="49" t="str">
        <f t="shared" si="36"/>
        <v/>
      </c>
      <c r="H38" s="50" t="str">
        <f t="shared" si="37"/>
        <v/>
      </c>
      <c r="I38" s="57" t="s">
        <v>12</v>
      </c>
      <c r="J38" s="57" t="s">
        <v>60</v>
      </c>
      <c r="K38" s="58" t="str">
        <f t="shared" si="30"/>
        <v/>
      </c>
      <c r="L38" s="59" t="str">
        <f t="shared" si="30"/>
        <v/>
      </c>
      <c r="M38" s="60" t="str">
        <f t="shared" si="30"/>
        <v/>
      </c>
      <c r="N38" s="61" t="str">
        <f t="shared" si="31"/>
        <v/>
      </c>
      <c r="X38" s="62" t="str">
        <f t="shared" si="39"/>
        <v>-</v>
      </c>
      <c r="Y38" s="63" t="str">
        <f t="shared" si="40"/>
        <v>-</v>
      </c>
      <c r="Z38" s="64" t="str">
        <f t="shared" si="41"/>
        <v>-</v>
      </c>
      <c r="AA38" s="80"/>
      <c r="AB38" s="81"/>
      <c r="AC38" s="82"/>
      <c r="AD38" s="80"/>
      <c r="AE38" s="80"/>
      <c r="AF38" s="81"/>
      <c r="AG38" s="82"/>
      <c r="AH38" s="80"/>
      <c r="AI38" s="80"/>
      <c r="AJ38" s="81"/>
      <c r="AK38" s="82"/>
      <c r="AL38" s="80"/>
      <c r="AM38" s="81"/>
      <c r="AN38" s="82"/>
      <c r="AO38" s="83"/>
      <c r="AU38" s="51">
        <f t="shared" si="42"/>
        <v>16</v>
      </c>
      <c r="AV38" s="282" t="str">
        <f t="shared" si="43"/>
        <v/>
      </c>
      <c r="AW38" s="26" t="str">
        <f t="shared" si="44"/>
        <v/>
      </c>
      <c r="AX38" s="282" t="str">
        <f t="shared" si="45"/>
        <v/>
      </c>
      <c r="AY38" s="26" t="str">
        <f t="shared" si="46"/>
        <v/>
      </c>
      <c r="AZ38" s="40" t="str">
        <f t="shared" si="47"/>
        <v/>
      </c>
      <c r="BA38" s="26" t="str">
        <f t="shared" si="48"/>
        <v/>
      </c>
      <c r="BB38" s="40" t="str">
        <f t="shared" si="49"/>
        <v/>
      </c>
      <c r="BC38" s="26" t="str">
        <f t="shared" si="50"/>
        <v/>
      </c>
      <c r="BD38" s="26" t="str">
        <f t="shared" si="51"/>
        <v/>
      </c>
      <c r="BN38" s="100"/>
      <c r="BO38" s="41">
        <v>36</v>
      </c>
      <c r="BR38" s="26"/>
      <c r="BT38" s="26"/>
      <c r="BU38" s="40"/>
      <c r="BV38" s="26"/>
      <c r="BW38" s="40"/>
      <c r="BX38" s="26"/>
      <c r="BZ38" s="100"/>
      <c r="CA38" s="41">
        <v>36</v>
      </c>
      <c r="CD38" s="26"/>
      <c r="CF38" s="26"/>
      <c r="CG38" s="40"/>
      <c r="CH38" s="26"/>
      <c r="CI38" s="40"/>
      <c r="CJ38" s="26"/>
      <c r="CK38" s="26"/>
    </row>
    <row r="39" spans="1:89" ht="9.9499999999999993" customHeight="1">
      <c r="BN39" s="42">
        <v>10</v>
      </c>
      <c r="BO39" s="97">
        <v>37</v>
      </c>
      <c r="BR39" s="26"/>
      <c r="BT39" s="26"/>
      <c r="BU39" s="40"/>
      <c r="BV39" s="26"/>
      <c r="BW39" s="40"/>
      <c r="BX39" s="26"/>
      <c r="BZ39" s="42">
        <v>10</v>
      </c>
      <c r="CA39" s="97">
        <v>37</v>
      </c>
      <c r="CD39" s="26"/>
      <c r="CF39" s="26"/>
      <c r="CG39" s="40"/>
      <c r="CH39" s="26"/>
      <c r="CI39" s="40"/>
      <c r="CJ39" s="26"/>
      <c r="CK39" s="26"/>
    </row>
    <row r="40" spans="1:89" ht="9.9499999999999993" customHeight="1">
      <c r="A40" s="24" t="s">
        <v>63</v>
      </c>
      <c r="B40" s="25" t="s">
        <v>64</v>
      </c>
      <c r="C40" s="26" t="s">
        <v>65</v>
      </c>
      <c r="D40" s="27" t="s">
        <v>37</v>
      </c>
      <c r="E40" s="28"/>
      <c r="F40" s="29"/>
      <c r="G40" s="30"/>
      <c r="H40" s="31"/>
      <c r="I40" s="358" t="s">
        <v>38</v>
      </c>
      <c r="J40" s="358"/>
      <c r="K40" s="359" t="s">
        <v>39</v>
      </c>
      <c r="L40" s="359"/>
      <c r="M40" s="359"/>
      <c r="W40" s="27" t="s">
        <v>41</v>
      </c>
      <c r="X40" s="357" t="s">
        <v>42</v>
      </c>
      <c r="Y40" s="357"/>
      <c r="Z40" s="357"/>
      <c r="AA40" s="35"/>
      <c r="AB40" s="357" t="s">
        <v>43</v>
      </c>
      <c r="AC40" s="357"/>
      <c r="AD40" s="357"/>
      <c r="AE40" s="35"/>
      <c r="AF40" s="357" t="s">
        <v>44</v>
      </c>
      <c r="AG40" s="357"/>
      <c r="AH40" s="357"/>
      <c r="AI40" s="35"/>
      <c r="AJ40" s="357" t="s">
        <v>45</v>
      </c>
      <c r="AK40" s="357"/>
      <c r="AL40" s="357"/>
      <c r="AM40" s="357" t="s">
        <v>46</v>
      </c>
      <c r="AN40" s="357"/>
      <c r="AO40" s="357"/>
      <c r="BN40" s="100"/>
      <c r="BO40" s="41">
        <v>38</v>
      </c>
      <c r="BR40" s="26"/>
      <c r="BT40" s="26"/>
      <c r="BU40" s="40"/>
      <c r="BV40" s="26"/>
      <c r="BW40" s="40"/>
      <c r="BX40" s="26"/>
      <c r="BZ40" s="100"/>
      <c r="CA40" s="41">
        <v>38</v>
      </c>
      <c r="CD40" s="26"/>
      <c r="CF40" s="26"/>
      <c r="CG40" s="40"/>
      <c r="CH40" s="26"/>
      <c r="CI40" s="40"/>
      <c r="CJ40" s="26"/>
      <c r="CK40" s="26"/>
    </row>
    <row r="41" spans="1:89" ht="9.9499999999999993" customHeight="1">
      <c r="A41" s="28" t="str">
        <f>IF(A2="","",A2)</f>
        <v/>
      </c>
      <c r="D41" s="35" t="s">
        <v>49</v>
      </c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  <c r="AF41" s="27"/>
      <c r="AG41" s="27"/>
      <c r="AH41" s="27"/>
      <c r="AI41" s="27"/>
      <c r="AJ41" s="27"/>
      <c r="AK41" s="27"/>
      <c r="AL41" s="27"/>
      <c r="AM41" s="27"/>
      <c r="AN41" s="27"/>
      <c r="AO41" s="27"/>
      <c r="AV41" s="36" t="s">
        <v>66</v>
      </c>
      <c r="AW41" s="36"/>
      <c r="AY41" s="57"/>
      <c r="AZ41" s="26"/>
      <c r="BF41" s="249" t="s">
        <v>160</v>
      </c>
      <c r="BG41" s="249"/>
      <c r="BH41" s="249"/>
      <c r="BI41" s="249"/>
      <c r="BJ41" s="249"/>
      <c r="BK41" s="249"/>
      <c r="BL41" s="249"/>
      <c r="BN41" s="100"/>
      <c r="BO41" s="41">
        <v>39</v>
      </c>
      <c r="BR41" s="26"/>
      <c r="BT41" s="26"/>
      <c r="BU41" s="40"/>
      <c r="BV41" s="26"/>
      <c r="BW41" s="40"/>
      <c r="BX41" s="26"/>
      <c r="BZ41" s="100"/>
      <c r="CA41" s="41">
        <v>39</v>
      </c>
      <c r="CD41" s="26"/>
      <c r="CF41" s="26"/>
      <c r="CG41" s="40"/>
      <c r="CH41" s="26"/>
      <c r="CI41" s="40"/>
      <c r="CJ41" s="26"/>
      <c r="CK41" s="26"/>
    </row>
    <row r="42" spans="1:89" ht="9.9499999999999993" customHeight="1">
      <c r="A42" s="28" t="str">
        <f t="shared" ref="A42:A57" si="55">IF(A3="","",A3)</f>
        <v/>
      </c>
      <c r="B42" s="46" t="str">
        <f>IF(ISBLANK(BB3),"",BB3)</f>
        <v/>
      </c>
      <c r="C42" s="47" t="str">
        <f>IF(ISERROR(BC3),"",BC3)</f>
        <v/>
      </c>
      <c r="D42" s="55" t="str">
        <f t="shared" ref="D42:D57" si="56">IF(B42="","",B42+0.00000000001)</f>
        <v/>
      </c>
      <c r="E42" s="56" t="str">
        <f t="shared" ref="E42:E57" si="57">D42</f>
        <v/>
      </c>
      <c r="F42" s="35" t="str">
        <f>IF(E42="","",TRUNC(E42))</f>
        <v/>
      </c>
      <c r="G42" s="49" t="str">
        <f>IF(E42="","",TRUNC((E42-F42)*100))</f>
        <v/>
      </c>
      <c r="H42" s="50" t="str">
        <f>IF(E42="","",(E42*100-(F42*100+G42))*100)</f>
        <v/>
      </c>
      <c r="I42" s="57" t="s">
        <v>12</v>
      </c>
      <c r="J42" s="57" t="s">
        <v>32</v>
      </c>
      <c r="K42" s="58">
        <v>0</v>
      </c>
      <c r="L42" s="59">
        <v>0</v>
      </c>
      <c r="M42" s="60">
        <v>0</v>
      </c>
      <c r="N42" s="61" t="str">
        <f>IF(B42="","",IF(K42&gt;180,360-(K42+L42/60+M42/3600),(K42+L42/60+M42/3600)))</f>
        <v/>
      </c>
      <c r="X42" s="62" t="str">
        <f>IF(N42="","-",TRUNC(N42))</f>
        <v>-</v>
      </c>
      <c r="Y42" s="63" t="str">
        <f>IF(N42="","-",TRUNC((N42-X42)*60))</f>
        <v>-</v>
      </c>
      <c r="Z42" s="64" t="str">
        <f>IF(N42="","-",((N42-X42)*60-Y42)*60)</f>
        <v>-</v>
      </c>
      <c r="AA42" s="65"/>
      <c r="AB42" s="66"/>
      <c r="AC42" s="67"/>
      <c r="AD42" s="65"/>
      <c r="AE42" s="65"/>
      <c r="AF42" s="66"/>
      <c r="AG42" s="67"/>
      <c r="AH42" s="65"/>
      <c r="AI42" s="65"/>
      <c r="AJ42" s="66"/>
      <c r="AK42" s="67"/>
      <c r="AL42" s="65"/>
      <c r="AM42" s="66"/>
      <c r="AN42" s="67"/>
      <c r="AO42" s="68"/>
      <c r="AQ42" s="29"/>
      <c r="AR42" s="29"/>
      <c r="AV42" s="38" t="s">
        <v>67</v>
      </c>
      <c r="AW42" s="38" t="s">
        <v>68</v>
      </c>
      <c r="AY42" s="57">
        <f>IF(AV43="","",AV43)</f>
        <v>1</v>
      </c>
      <c r="AZ42" s="95">
        <f>IF(AV43="","",IF(ISERROR(VLOOKUP(AV43,$BN$3:$BO$42,2,FALSE)),"",VLOOKUP(AV43,$BN$3:$BO$42,2,FALSE)))</f>
        <v>1</v>
      </c>
      <c r="BA42" s="57">
        <f>IF(AW43="","",AW43)</f>
        <v>1</v>
      </c>
      <c r="BB42" s="95">
        <f>IF(AW43="","",IF(ISERROR(VLOOKUP(AW43,$BZ$3:$CA$42,2,FALSE)),"",VLOOKUP(AW43,$BZ$3:$CA$42,2,FALSE)))</f>
        <v>1</v>
      </c>
      <c r="BF42" s="42" t="s">
        <v>69</v>
      </c>
      <c r="BG42" s="42" t="s">
        <v>91</v>
      </c>
      <c r="BH42" s="42" t="s">
        <v>164</v>
      </c>
      <c r="BI42" s="43" t="s">
        <v>54</v>
      </c>
      <c r="BJ42" s="42" t="s">
        <v>56</v>
      </c>
      <c r="BK42" s="42" t="s">
        <v>55</v>
      </c>
      <c r="BL42" s="42" t="s">
        <v>57</v>
      </c>
      <c r="BN42" s="100"/>
      <c r="BO42" s="41">
        <v>40</v>
      </c>
      <c r="BR42" s="26"/>
      <c r="BT42" s="26"/>
      <c r="BU42" s="40"/>
      <c r="BV42" s="26"/>
      <c r="BW42" s="40"/>
      <c r="BX42" s="26"/>
      <c r="BZ42" s="100"/>
      <c r="CA42" s="41">
        <v>40</v>
      </c>
      <c r="CD42" s="26"/>
      <c r="CF42" s="26"/>
      <c r="CG42" s="40"/>
      <c r="CH42" s="26"/>
      <c r="CI42" s="40"/>
      <c r="CJ42" s="26"/>
      <c r="CK42" s="26"/>
    </row>
    <row r="43" spans="1:89" ht="9.9499999999999993" customHeight="1">
      <c r="A43" s="28" t="str">
        <f t="shared" si="55"/>
        <v/>
      </c>
      <c r="B43" s="46" t="str">
        <f>IF(ISBLANK(BB4),"",IF(OR(P4=FALSE,R4=FALSE,T4=FALSE),"",BB4))</f>
        <v/>
      </c>
      <c r="C43" s="47" t="str">
        <f t="shared" ref="C43:C57" si="58">IF(ISERROR(BC4),"",BC4)</f>
        <v/>
      </c>
      <c r="D43" s="55" t="str">
        <f t="shared" si="56"/>
        <v/>
      </c>
      <c r="E43" s="56" t="str">
        <f t="shared" si="57"/>
        <v/>
      </c>
      <c r="F43" s="35" t="str">
        <f t="shared" ref="F43:F57" si="59">IF(E43="","",TRUNC(E43))</f>
        <v/>
      </c>
      <c r="G43" s="49" t="str">
        <f t="shared" ref="G43:G57" si="60">IF(E43="","",TRUNC((E43-F43)*100))</f>
        <v/>
      </c>
      <c r="H43" s="50" t="str">
        <f t="shared" ref="H43:H57" si="61">IF(E43="","",(E43*100-(F43*100+G43))*100)</f>
        <v/>
      </c>
      <c r="I43" s="57" t="s">
        <v>59</v>
      </c>
      <c r="J43" s="57" t="s">
        <v>32</v>
      </c>
      <c r="K43" s="58" t="str">
        <f t="shared" ref="K43:M44" si="62">F43</f>
        <v/>
      </c>
      <c r="L43" s="59" t="str">
        <f t="shared" si="62"/>
        <v/>
      </c>
      <c r="M43" s="60" t="str">
        <f t="shared" si="62"/>
        <v/>
      </c>
      <c r="N43" s="61" t="str">
        <f t="shared" ref="N43:N57" si="63">IF(B43="","",IF(K43&gt;180,360-(K43+L43/60+M43/3600),(K43+L43/60+M43/3600)))</f>
        <v/>
      </c>
      <c r="O43" s="61" t="str">
        <f>IF(OR(N42="",N43=""),"",N43-N42)</f>
        <v/>
      </c>
      <c r="P43" s="32" t="b">
        <v>1</v>
      </c>
      <c r="Q43" s="61" t="str">
        <f t="shared" ref="Q43:Q44" si="64">IF(P43=TRUE,IF(O43="","",IF(O43&gt;360,(O43-360),IF(O43&lt;0,(O43+360),O43))),IF(O43="","",IF(O43&gt;360,(O43-360),IF(O43&lt;0,(O43+360),O43))))</f>
        <v/>
      </c>
      <c r="R43" s="32" t="b">
        <v>1</v>
      </c>
      <c r="S43" s="61" t="str">
        <f>IF(AND(P43=TRUE,P44=TRUE),IF(AND(Q43="",Q44=""),"",AVERAGE(Q43:Q44)),IF(P43=TRUE,Q43,IF(P44=TRUE,Q44,"")))</f>
        <v/>
      </c>
      <c r="T43" s="32" t="b">
        <v>1</v>
      </c>
      <c r="U43" s="61" t="str">
        <f>IF(AND(R43=TRUE,R47=TRUE),IF(AND(S43="",S47=""),"",AVERAGE(S43,S47)),IF(R43=TRUE,S43,IF(R47=TRUE,S47,"")))</f>
        <v/>
      </c>
      <c r="X43" s="62" t="str">
        <f t="shared" ref="X43:X57" si="65">IF(N43="","-",TRUNC(N43))</f>
        <v>-</v>
      </c>
      <c r="Y43" s="63" t="str">
        <f t="shared" ref="Y43:Y57" si="66">IF(N43="","-",TRUNC((N43-X43)*60))</f>
        <v>-</v>
      </c>
      <c r="Z43" s="64" t="str">
        <f t="shared" ref="Z43:Z57" si="67">IF(N43="","-",((N43-X43)*60-Y43)*60)</f>
        <v>-</v>
      </c>
      <c r="AB43" s="62" t="str">
        <f>IF(Q43="","-",TRUNC(Q43))</f>
        <v>-</v>
      </c>
      <c r="AC43" s="63" t="str">
        <f>IF(Q43="","-",TRUNC((Q43-AB43)*60))</f>
        <v>-</v>
      </c>
      <c r="AD43" s="64" t="str">
        <f>IF(Q43="","-",((Q43-AB43)*60-AC43)*60)</f>
        <v>-</v>
      </c>
      <c r="AF43" s="57"/>
      <c r="AG43" s="57"/>
      <c r="AH43" s="57"/>
      <c r="AI43" s="57"/>
      <c r="AJ43" s="57"/>
      <c r="AK43" s="57"/>
      <c r="AL43" s="57"/>
      <c r="AO43" s="69"/>
      <c r="AQ43" s="29"/>
      <c r="AR43" s="29"/>
      <c r="AV43" s="96">
        <v>1</v>
      </c>
      <c r="AW43" s="96">
        <v>1</v>
      </c>
      <c r="AZ43" s="51">
        <f>IF(AZ42="","",AZ42+1)</f>
        <v>2</v>
      </c>
      <c r="BB43" s="51">
        <f>IF(BB42="","",BB42+1)</f>
        <v>2</v>
      </c>
      <c r="BF43" s="41" t="s">
        <v>12</v>
      </c>
      <c r="BG43" s="41" t="str">
        <f>IF(AX3="","",AX3)</f>
        <v/>
      </c>
      <c r="BH43" s="52" t="str">
        <f>IF(AY3="","",AY3)</f>
        <v/>
      </c>
      <c r="BI43" s="250" t="s">
        <v>62</v>
      </c>
      <c r="BJ43" s="250" t="s">
        <v>62</v>
      </c>
      <c r="BK43" s="52" t="str">
        <f>IF(AP12="","",AP12)</f>
        <v/>
      </c>
      <c r="BL43" s="52" t="str">
        <f>IF(AP51="","",AP51)</f>
        <v/>
      </c>
      <c r="BR43" s="26"/>
      <c r="BT43" s="26"/>
      <c r="BU43" s="40"/>
      <c r="BV43" s="26"/>
      <c r="BW43" s="40"/>
      <c r="BX43" s="26"/>
      <c r="CD43" s="26"/>
      <c r="CF43" s="26"/>
      <c r="CG43" s="40"/>
      <c r="CH43" s="26"/>
      <c r="CI43" s="40"/>
      <c r="CJ43" s="26"/>
      <c r="CK43" s="26"/>
    </row>
    <row r="44" spans="1:89" ht="9.9499999999999993" customHeight="1">
      <c r="A44" s="28" t="str">
        <f t="shared" si="55"/>
        <v/>
      </c>
      <c r="B44" s="46" t="str">
        <f>IF(ISBLANK(BB5),"",IF(OR(P5=FALSE,R4=FALSE,T4=FALSE),"",BB5))</f>
        <v/>
      </c>
      <c r="C44" s="47" t="str">
        <f t="shared" si="58"/>
        <v/>
      </c>
      <c r="D44" s="55" t="str">
        <f t="shared" si="56"/>
        <v/>
      </c>
      <c r="E44" s="56" t="str">
        <f t="shared" si="57"/>
        <v/>
      </c>
      <c r="F44" s="35" t="str">
        <f t="shared" si="59"/>
        <v/>
      </c>
      <c r="G44" s="49" t="str">
        <f t="shared" si="60"/>
        <v/>
      </c>
      <c r="H44" s="50" t="str">
        <f t="shared" si="61"/>
        <v/>
      </c>
      <c r="I44" s="57" t="s">
        <v>59</v>
      </c>
      <c r="J44" s="57" t="s">
        <v>60</v>
      </c>
      <c r="K44" s="58" t="str">
        <f t="shared" si="62"/>
        <v/>
      </c>
      <c r="L44" s="59" t="str">
        <f t="shared" si="62"/>
        <v/>
      </c>
      <c r="M44" s="60" t="str">
        <f t="shared" si="62"/>
        <v/>
      </c>
      <c r="N44" s="61" t="str">
        <f t="shared" si="63"/>
        <v/>
      </c>
      <c r="O44" s="61" t="str">
        <f>IF(OR(N44="",N45=""),"",N44-N45)</f>
        <v/>
      </c>
      <c r="P44" s="32" t="b">
        <v>1</v>
      </c>
      <c r="Q44" s="61" t="str">
        <f t="shared" si="64"/>
        <v/>
      </c>
      <c r="X44" s="62" t="str">
        <f t="shared" si="65"/>
        <v>-</v>
      </c>
      <c r="Y44" s="63" t="str">
        <f t="shared" si="66"/>
        <v>-</v>
      </c>
      <c r="Z44" s="64" t="str">
        <f t="shared" si="67"/>
        <v>-</v>
      </c>
      <c r="AB44" s="62" t="str">
        <f>IF(Q44="","-",TRUNC(Q44))</f>
        <v>-</v>
      </c>
      <c r="AC44" s="63" t="str">
        <f>IF(Q44="","-",TRUNC((Q44-AB44)*60))</f>
        <v>-</v>
      </c>
      <c r="AD44" s="64" t="str">
        <f>IF(Q44="","-",((Q44-AB44)*60-AC44)*60)</f>
        <v>-</v>
      </c>
      <c r="AF44" s="62" t="str">
        <f>IF(S43="","-",TRUNC(S43))</f>
        <v>-</v>
      </c>
      <c r="AG44" s="63" t="str">
        <f>IF(S43="","-",TRUNC((S43-AF44)*60))</f>
        <v>-</v>
      </c>
      <c r="AH44" s="64" t="str">
        <f>IF(S43="","-",((S43-AF44)*60-AG44)*60)</f>
        <v>-</v>
      </c>
      <c r="AJ44" s="57"/>
      <c r="AK44" s="57"/>
      <c r="AL44" s="57"/>
      <c r="AO44" s="69"/>
      <c r="AQ44" s="29"/>
      <c r="AR44" s="29"/>
      <c r="AV44" s="96">
        <v>2</v>
      </c>
      <c r="AW44" s="96">
        <v>2</v>
      </c>
      <c r="AZ44" s="51">
        <f t="shared" ref="AZ44:AZ45" si="68">IF(AZ43="","",AZ43+1)</f>
        <v>3</v>
      </c>
      <c r="BB44" s="51">
        <f t="shared" ref="BB44:BB45" si="69">IF(BB43="","",BB43+1)</f>
        <v>3</v>
      </c>
      <c r="BF44" s="41" t="s">
        <v>161</v>
      </c>
      <c r="BG44" s="41" t="str">
        <f>IF(AV3="","",AV3)</f>
        <v/>
      </c>
      <c r="BH44" s="52" t="str">
        <f>IF(AW3="","",AW3)</f>
        <v/>
      </c>
      <c r="BI44" s="250" t="str">
        <f>IF(AT19="ปรับแก้",T21+U21/100+V21/10000,AP10)</f>
        <v/>
      </c>
      <c r="BJ44" s="250" t="s">
        <v>62</v>
      </c>
      <c r="BK44" s="250" t="s">
        <v>62</v>
      </c>
      <c r="BL44" s="250" t="s">
        <v>62</v>
      </c>
      <c r="BR44" s="26"/>
      <c r="BT44" s="26"/>
      <c r="BU44" s="40"/>
      <c r="BV44" s="26"/>
      <c r="BW44" s="40"/>
      <c r="BX44" s="26"/>
      <c r="CD44" s="26"/>
      <c r="CF44" s="26"/>
      <c r="CG44" s="40"/>
      <c r="CH44" s="26"/>
      <c r="CI44" s="40"/>
      <c r="CJ44" s="26"/>
      <c r="CK44" s="26"/>
    </row>
    <row r="45" spans="1:89" ht="9.9499999999999993" customHeight="1">
      <c r="A45" s="28" t="str">
        <f t="shared" si="55"/>
        <v/>
      </c>
      <c r="B45" s="46" t="str">
        <f>IF(ISBLANK(BB6),"",BB6)</f>
        <v/>
      </c>
      <c r="C45" s="47" t="str">
        <f t="shared" si="58"/>
        <v/>
      </c>
      <c r="D45" s="55" t="str">
        <f t="shared" si="56"/>
        <v/>
      </c>
      <c r="E45" s="56" t="str">
        <f t="shared" si="57"/>
        <v/>
      </c>
      <c r="F45" s="35" t="str">
        <f t="shared" si="59"/>
        <v/>
      </c>
      <c r="G45" s="49" t="str">
        <f t="shared" si="60"/>
        <v/>
      </c>
      <c r="H45" s="50" t="str">
        <f t="shared" si="61"/>
        <v/>
      </c>
      <c r="I45" s="57" t="s">
        <v>12</v>
      </c>
      <c r="J45" s="57" t="s">
        <v>60</v>
      </c>
      <c r="K45" s="58">
        <v>0</v>
      </c>
      <c r="L45" s="59">
        <v>0</v>
      </c>
      <c r="M45" s="60">
        <v>0</v>
      </c>
      <c r="N45" s="61" t="str">
        <f t="shared" si="63"/>
        <v/>
      </c>
      <c r="X45" s="62" t="str">
        <f t="shared" si="65"/>
        <v>-</v>
      </c>
      <c r="Y45" s="63" t="str">
        <f t="shared" si="66"/>
        <v>-</v>
      </c>
      <c r="Z45" s="64" t="str">
        <f t="shared" si="67"/>
        <v>-</v>
      </c>
      <c r="AO45" s="69"/>
      <c r="AQ45" s="29"/>
      <c r="AR45" s="29"/>
      <c r="AV45" s="96">
        <v>3</v>
      </c>
      <c r="AW45" s="96">
        <v>3</v>
      </c>
      <c r="AZ45" s="51">
        <f t="shared" si="68"/>
        <v>4</v>
      </c>
      <c r="BB45" s="51">
        <f t="shared" si="69"/>
        <v>4</v>
      </c>
      <c r="BF45" s="41" t="s">
        <v>59</v>
      </c>
      <c r="BG45" s="41" t="str">
        <f>IF(AX4="","",AX4)</f>
        <v/>
      </c>
      <c r="BH45" s="52" t="str">
        <f>IF(AY4="","",AY4)</f>
        <v/>
      </c>
      <c r="BI45" s="250" t="s">
        <v>62</v>
      </c>
      <c r="BJ45" s="250" t="str">
        <f>IF(AP49="","",AP49)</f>
        <v/>
      </c>
      <c r="BK45" s="52" t="str">
        <f>IF(AP11="","",AP11)</f>
        <v/>
      </c>
      <c r="BL45" s="52" t="str">
        <f>IF(AP50="","",AP50)</f>
        <v/>
      </c>
      <c r="BR45" s="26"/>
      <c r="BT45" s="26"/>
      <c r="BU45" s="40"/>
      <c r="BV45" s="26"/>
      <c r="BW45" s="40"/>
      <c r="BX45" s="26"/>
      <c r="CD45" s="26"/>
      <c r="CF45" s="26"/>
      <c r="CG45" s="40"/>
      <c r="CH45" s="26"/>
      <c r="CI45" s="40"/>
      <c r="CJ45" s="26"/>
      <c r="CK45" s="26"/>
    </row>
    <row r="46" spans="1:89" ht="9.9499999999999993" customHeight="1">
      <c r="A46" s="28" t="str">
        <f t="shared" si="55"/>
        <v/>
      </c>
      <c r="B46" s="46" t="str">
        <f>IF(ISBLANK(BB7),"",BB7)</f>
        <v/>
      </c>
      <c r="C46" s="47" t="str">
        <f t="shared" si="58"/>
        <v/>
      </c>
      <c r="D46" s="55" t="str">
        <f t="shared" si="56"/>
        <v/>
      </c>
      <c r="E46" s="56" t="str">
        <f t="shared" si="57"/>
        <v/>
      </c>
      <c r="F46" s="35" t="str">
        <f t="shared" si="59"/>
        <v/>
      </c>
      <c r="G46" s="49" t="str">
        <f t="shared" si="60"/>
        <v/>
      </c>
      <c r="H46" s="50" t="str">
        <f t="shared" si="61"/>
        <v/>
      </c>
      <c r="I46" s="57" t="s">
        <v>12</v>
      </c>
      <c r="J46" s="57" t="s">
        <v>32</v>
      </c>
      <c r="K46" s="58">
        <v>0</v>
      </c>
      <c r="L46" s="59">
        <v>0</v>
      </c>
      <c r="M46" s="60">
        <v>0</v>
      </c>
      <c r="N46" s="61" t="str">
        <f t="shared" si="63"/>
        <v/>
      </c>
      <c r="X46" s="62" t="str">
        <f t="shared" si="65"/>
        <v>-</v>
      </c>
      <c r="Y46" s="63" t="str">
        <f t="shared" si="66"/>
        <v>-</v>
      </c>
      <c r="Z46" s="64" t="str">
        <f t="shared" si="67"/>
        <v>-</v>
      </c>
      <c r="AJ46" s="62" t="str">
        <f>IF(U43="","-",TRUNC(U43))</f>
        <v>-</v>
      </c>
      <c r="AK46" s="63" t="str">
        <f>IF(U43="","-",TRUNC((U43-AJ46)*60))</f>
        <v>-</v>
      </c>
      <c r="AL46" s="64" t="str">
        <f>IF(U43="","-",((U43-AJ46)*60-AK46)*60)</f>
        <v>-</v>
      </c>
      <c r="AM46" s="57"/>
      <c r="AN46" s="57"/>
      <c r="AO46" s="70"/>
      <c r="AQ46" s="29"/>
      <c r="AR46" s="29"/>
      <c r="AV46" s="96">
        <v>4</v>
      </c>
      <c r="AW46" s="96">
        <v>4</v>
      </c>
      <c r="AY46" s="57">
        <f>IF(AV44="","",AV44)</f>
        <v>2</v>
      </c>
      <c r="AZ46" s="95">
        <f>IF(AV44="","",IF(ISERROR(VLOOKUP(AV44,$BN$3:$BO$42,2,FALSE)),"",VLOOKUP(AV44,$BN$3:$BO$42,2,FALSE)))</f>
        <v>5</v>
      </c>
      <c r="BA46" s="57">
        <f>IF(AW44="","",AW44)</f>
        <v>2</v>
      </c>
      <c r="BB46" s="95">
        <f>IF(AW44="","",IF(ISERROR(VLOOKUP(AW44,$BZ$3:$CA$42,2,FALSE)),"",VLOOKUP(AW44,$BZ$3:$CA$42,2,FALSE)))</f>
        <v>5</v>
      </c>
      <c r="BG46" s="57"/>
      <c r="BR46" s="26"/>
      <c r="BT46" s="26"/>
      <c r="BU46" s="40"/>
      <c r="BV46" s="26"/>
      <c r="BW46" s="40"/>
      <c r="BX46" s="26"/>
      <c r="CD46" s="26"/>
      <c r="CF46" s="26"/>
      <c r="CG46" s="40"/>
      <c r="CH46" s="26"/>
      <c r="CI46" s="40"/>
      <c r="CJ46" s="26"/>
      <c r="CK46" s="26"/>
    </row>
    <row r="47" spans="1:89" ht="9.9499999999999993" customHeight="1">
      <c r="A47" s="28" t="str">
        <f t="shared" si="55"/>
        <v/>
      </c>
      <c r="B47" s="46" t="str">
        <f>IF(ISBLANK(BB8),"",IF(OR(P8=FALSE,R8=FALSE,T4=FALSE),"",BB8))</f>
        <v/>
      </c>
      <c r="C47" s="47" t="str">
        <f t="shared" si="58"/>
        <v/>
      </c>
      <c r="D47" s="55" t="str">
        <f t="shared" si="56"/>
        <v/>
      </c>
      <c r="E47" s="56" t="str">
        <f t="shared" si="57"/>
        <v/>
      </c>
      <c r="F47" s="35" t="str">
        <f t="shared" si="59"/>
        <v/>
      </c>
      <c r="G47" s="49" t="str">
        <f t="shared" si="60"/>
        <v/>
      </c>
      <c r="H47" s="50" t="str">
        <f t="shared" si="61"/>
        <v/>
      </c>
      <c r="I47" s="57" t="s">
        <v>59</v>
      </c>
      <c r="J47" s="57" t="s">
        <v>32</v>
      </c>
      <c r="K47" s="58" t="str">
        <f t="shared" ref="K47:M48" si="70">F47</f>
        <v/>
      </c>
      <c r="L47" s="59" t="str">
        <f t="shared" si="70"/>
        <v/>
      </c>
      <c r="M47" s="60" t="str">
        <f t="shared" si="70"/>
        <v/>
      </c>
      <c r="N47" s="61" t="str">
        <f t="shared" si="63"/>
        <v/>
      </c>
      <c r="O47" s="61" t="str">
        <f>IF(OR(N46="",N47=""),"",N47-N46)</f>
        <v/>
      </c>
      <c r="P47" s="32" t="b">
        <v>1</v>
      </c>
      <c r="Q47" s="61" t="str">
        <f t="shared" ref="Q47:Q48" si="71">IF(P47=TRUE,IF(O47="","",IF(O47&gt;360,(O47-360),IF(O47&lt;0,(O47+360),O47))),IF(O47="","",IF(O47&gt;360,(O47-360),IF(O47&lt;0,(O47+360),O47))))</f>
        <v/>
      </c>
      <c r="R47" s="32" t="b">
        <v>1</v>
      </c>
      <c r="S47" s="61" t="str">
        <f>IF(AND(P47=TRUE,P48=TRUE),IF(AND(Q47="",Q48=""),"",AVERAGE(Q47:Q48)),IF(P47=TRUE,Q47,IF(P48=TRUE,Q48,"")))</f>
        <v/>
      </c>
      <c r="X47" s="62" t="str">
        <f t="shared" si="65"/>
        <v>-</v>
      </c>
      <c r="Y47" s="63" t="str">
        <f t="shared" si="66"/>
        <v>-</v>
      </c>
      <c r="Z47" s="64" t="str">
        <f t="shared" si="67"/>
        <v>-</v>
      </c>
      <c r="AB47" s="62" t="str">
        <f>IF(Q47="","-",TRUNC(Q47))</f>
        <v>-</v>
      </c>
      <c r="AC47" s="63" t="str">
        <f>IF(Q47="","-",TRUNC((Q47-AB47)*60))</f>
        <v>-</v>
      </c>
      <c r="AD47" s="64" t="str">
        <f>IF(Q47="","-",((Q47-AB47)*60-AC47)*60)</f>
        <v>-</v>
      </c>
      <c r="AF47" s="57"/>
      <c r="AG47" s="57"/>
      <c r="AH47" s="57"/>
      <c r="AI47" s="57"/>
      <c r="AO47" s="69"/>
      <c r="AQ47" s="29"/>
      <c r="AR47" s="29"/>
      <c r="AU47" s="57"/>
      <c r="AW47" s="57"/>
      <c r="AY47" s="57"/>
      <c r="AZ47" s="51">
        <f>IF(AZ46="","",AZ46+1)</f>
        <v>6</v>
      </c>
      <c r="BA47" s="57"/>
      <c r="BB47" s="51">
        <f>IF(BB46="","",BB46+1)</f>
        <v>6</v>
      </c>
      <c r="BG47" s="26"/>
      <c r="BR47" s="26"/>
      <c r="BT47" s="26"/>
      <c r="BU47" s="40"/>
      <c r="BV47" s="26"/>
      <c r="BW47" s="40"/>
      <c r="BX47" s="26"/>
      <c r="CD47" s="26"/>
      <c r="CF47" s="26"/>
      <c r="CG47" s="40"/>
      <c r="CH47" s="26"/>
      <c r="CI47" s="40"/>
      <c r="CJ47" s="26"/>
      <c r="CK47" s="26"/>
    </row>
    <row r="48" spans="1:89" ht="9.9499999999999993" customHeight="1">
      <c r="A48" s="28" t="str">
        <f t="shared" si="55"/>
        <v/>
      </c>
      <c r="B48" s="46" t="str">
        <f>IF(ISBLANK(BB9),"",IF(OR(P9=FALSE,R8=FALSE,T4=FALSE),"",BB9))</f>
        <v/>
      </c>
      <c r="C48" s="47" t="str">
        <f t="shared" si="58"/>
        <v/>
      </c>
      <c r="D48" s="55" t="str">
        <f t="shared" si="56"/>
        <v/>
      </c>
      <c r="E48" s="56" t="str">
        <f t="shared" si="57"/>
        <v/>
      </c>
      <c r="F48" s="35" t="str">
        <f t="shared" si="59"/>
        <v/>
      </c>
      <c r="G48" s="49" t="str">
        <f t="shared" si="60"/>
        <v/>
      </c>
      <c r="H48" s="50" t="str">
        <f t="shared" si="61"/>
        <v/>
      </c>
      <c r="I48" s="57" t="s">
        <v>59</v>
      </c>
      <c r="J48" s="57" t="s">
        <v>60</v>
      </c>
      <c r="K48" s="58" t="str">
        <f t="shared" si="70"/>
        <v/>
      </c>
      <c r="L48" s="59" t="str">
        <f t="shared" si="70"/>
        <v/>
      </c>
      <c r="M48" s="60" t="str">
        <f t="shared" si="70"/>
        <v/>
      </c>
      <c r="N48" s="61" t="str">
        <f t="shared" si="63"/>
        <v/>
      </c>
      <c r="O48" s="61" t="str">
        <f>IF(OR(N48="",N49=""),"",N48-N49)</f>
        <v/>
      </c>
      <c r="P48" s="32" t="b">
        <v>1</v>
      </c>
      <c r="Q48" s="61" t="str">
        <f t="shared" si="71"/>
        <v/>
      </c>
      <c r="X48" s="62" t="str">
        <f t="shared" si="65"/>
        <v>-</v>
      </c>
      <c r="Y48" s="63" t="str">
        <f t="shared" si="66"/>
        <v>-</v>
      </c>
      <c r="Z48" s="64" t="str">
        <f t="shared" si="67"/>
        <v>-</v>
      </c>
      <c r="AB48" s="62" t="str">
        <f>IF(Q48="","-",TRUNC(Q48))</f>
        <v>-</v>
      </c>
      <c r="AC48" s="63" t="str">
        <f>IF(Q48="","-",TRUNC((Q48-AB48)*60))</f>
        <v>-</v>
      </c>
      <c r="AD48" s="64" t="str">
        <f>IF(Q48="","-",((Q48-AB48)*60-AC48)*60)</f>
        <v>-</v>
      </c>
      <c r="AF48" s="62" t="str">
        <f>IF(S47="","-",TRUNC(S47))</f>
        <v>-</v>
      </c>
      <c r="AG48" s="63" t="str">
        <f>IF(S47="","-",TRUNC((S47-AF48)*60))</f>
        <v>-</v>
      </c>
      <c r="AH48" s="64" t="str">
        <f>IF(S47="","-",((S47-AF48)*60-AG48)*60)</f>
        <v>-</v>
      </c>
      <c r="AO48" s="69"/>
      <c r="AQ48" s="29"/>
      <c r="AR48" s="29"/>
      <c r="AU48" s="57"/>
      <c r="AY48" s="57"/>
      <c r="AZ48" s="51">
        <f t="shared" ref="AZ48:AZ49" si="72">IF(AZ47="","",AZ47+1)</f>
        <v>7</v>
      </c>
      <c r="BA48" s="57"/>
      <c r="BB48" s="51">
        <f t="shared" ref="BB48:BB49" si="73">IF(BB47="","",BB47+1)</f>
        <v>7</v>
      </c>
      <c r="BG48" s="26"/>
      <c r="BR48" s="26"/>
      <c r="BT48" s="26"/>
      <c r="BU48" s="40"/>
      <c r="BV48" s="26"/>
      <c r="BW48" s="40"/>
      <c r="BX48" s="26"/>
      <c r="CD48" s="26"/>
      <c r="CF48" s="26"/>
      <c r="CG48" s="40"/>
      <c r="CH48" s="26"/>
      <c r="CI48" s="40"/>
      <c r="CJ48" s="26"/>
      <c r="CK48" s="26"/>
    </row>
    <row r="49" spans="1:89" ht="9.9499999999999993" customHeight="1">
      <c r="A49" s="28" t="str">
        <f t="shared" si="55"/>
        <v/>
      </c>
      <c r="B49" s="46" t="str">
        <f>IF(ISBLANK(BB10),"",BB10)</f>
        <v/>
      </c>
      <c r="C49" s="47" t="str">
        <f t="shared" si="58"/>
        <v/>
      </c>
      <c r="D49" s="55" t="str">
        <f t="shared" si="56"/>
        <v/>
      </c>
      <c r="E49" s="56" t="str">
        <f t="shared" si="57"/>
        <v/>
      </c>
      <c r="F49" s="35" t="str">
        <f t="shared" si="59"/>
        <v/>
      </c>
      <c r="G49" s="49" t="str">
        <f t="shared" si="60"/>
        <v/>
      </c>
      <c r="H49" s="50" t="str">
        <f t="shared" si="61"/>
        <v/>
      </c>
      <c r="I49" s="57" t="s">
        <v>12</v>
      </c>
      <c r="J49" s="57" t="s">
        <v>60</v>
      </c>
      <c r="K49" s="58">
        <v>0</v>
      </c>
      <c r="L49" s="59">
        <v>0</v>
      </c>
      <c r="M49" s="60">
        <v>0</v>
      </c>
      <c r="N49" s="61" t="str">
        <f t="shared" si="63"/>
        <v/>
      </c>
      <c r="V49" s="61" t="str">
        <f>IF(AND(T43=TRUE,T51=TRUE),IF(AND(U43="",U51=""),"",AVERAGE(U43,U51)),IF(T43=TRUE,U43,IF(T51=TRUE,U51,"")))</f>
        <v/>
      </c>
      <c r="X49" s="62" t="str">
        <f t="shared" si="65"/>
        <v>-</v>
      </c>
      <c r="Y49" s="63" t="str">
        <f t="shared" si="66"/>
        <v>-</v>
      </c>
      <c r="Z49" s="64" t="str">
        <f t="shared" si="67"/>
        <v>-</v>
      </c>
      <c r="AM49" s="62" t="str">
        <f>IF(V49="","-",TRUNC(V49))</f>
        <v>-</v>
      </c>
      <c r="AN49" s="63" t="str">
        <f>IF(V49="","-",TRUNC((V49-AM49)*60))</f>
        <v>-</v>
      </c>
      <c r="AO49" s="64" t="str">
        <f>IF(V49="","-",((V49-AM49)*60-AN49)*60)</f>
        <v>-</v>
      </c>
      <c r="AP49" s="32" t="str">
        <f>IF(BI7="","",BI7)</f>
        <v/>
      </c>
      <c r="AQ49" s="29"/>
      <c r="AR49" s="29"/>
      <c r="AU49" s="57"/>
      <c r="AY49" s="57"/>
      <c r="AZ49" s="51">
        <f t="shared" si="72"/>
        <v>8</v>
      </c>
      <c r="BA49" s="57"/>
      <c r="BB49" s="51">
        <f t="shared" si="73"/>
        <v>8</v>
      </c>
      <c r="BG49" s="26"/>
      <c r="BR49" s="26"/>
      <c r="BT49" s="26"/>
      <c r="BU49" s="40"/>
      <c r="BV49" s="26"/>
      <c r="BW49" s="40"/>
      <c r="BX49" s="26"/>
      <c r="CD49" s="26"/>
      <c r="CF49" s="26"/>
      <c r="CG49" s="40"/>
      <c r="CH49" s="26"/>
      <c r="CI49" s="40"/>
      <c r="CJ49" s="26"/>
      <c r="CK49" s="26"/>
    </row>
    <row r="50" spans="1:89" ht="9.9499999999999993" customHeight="1">
      <c r="A50" s="28" t="str">
        <f t="shared" si="55"/>
        <v/>
      </c>
      <c r="B50" s="46" t="str">
        <f>IF(ISBLANK(BB11),"",BB11)</f>
        <v/>
      </c>
      <c r="C50" s="47" t="str">
        <f t="shared" si="58"/>
        <v/>
      </c>
      <c r="D50" s="55" t="str">
        <f t="shared" si="56"/>
        <v/>
      </c>
      <c r="E50" s="56" t="str">
        <f t="shared" si="57"/>
        <v/>
      </c>
      <c r="F50" s="35" t="str">
        <f t="shared" si="59"/>
        <v/>
      </c>
      <c r="G50" s="49" t="str">
        <f t="shared" si="60"/>
        <v/>
      </c>
      <c r="H50" s="50" t="str">
        <f t="shared" si="61"/>
        <v/>
      </c>
      <c r="I50" s="57" t="s">
        <v>12</v>
      </c>
      <c r="J50" s="57" t="s">
        <v>32</v>
      </c>
      <c r="K50" s="58">
        <v>0</v>
      </c>
      <c r="L50" s="59">
        <v>0</v>
      </c>
      <c r="M50" s="60">
        <v>0</v>
      </c>
      <c r="N50" s="61" t="str">
        <f t="shared" si="63"/>
        <v/>
      </c>
      <c r="X50" s="62" t="str">
        <f t="shared" si="65"/>
        <v>-</v>
      </c>
      <c r="Y50" s="63" t="str">
        <f t="shared" si="66"/>
        <v>-</v>
      </c>
      <c r="Z50" s="64" t="str">
        <f t="shared" si="67"/>
        <v>-</v>
      </c>
      <c r="AJ50" s="73"/>
      <c r="AK50" s="74"/>
      <c r="AL50" s="75"/>
      <c r="AO50" s="69"/>
      <c r="AP50" s="47" t="str">
        <f>IF(BJ7="","",BJ7)</f>
        <v/>
      </c>
      <c r="AQ50" s="29"/>
      <c r="AR50" s="29"/>
      <c r="AU50" s="57"/>
      <c r="AY50" s="57">
        <f>IF(AV45="","",AV45)</f>
        <v>3</v>
      </c>
      <c r="AZ50" s="95">
        <f>IF(AV45="","",IF(ISERROR(VLOOKUP(AV45,$BN$3:$BO$42,2,FALSE)),"",VLOOKUP(AV45,$BN$3:$BO$42,2,FALSE)))</f>
        <v>9</v>
      </c>
      <c r="BA50" s="57">
        <f>IF(AW45="","",AW45)</f>
        <v>3</v>
      </c>
      <c r="BB50" s="95">
        <f>IF(AW45="","",IF(ISERROR(VLOOKUP(AW45,$BZ$3:$CA$42,2,FALSE)),"",VLOOKUP(AW45,$BZ$3:$CA$42,2,FALSE)))</f>
        <v>9</v>
      </c>
      <c r="BG50" s="26"/>
      <c r="BR50" s="26"/>
      <c r="BT50" s="26"/>
      <c r="BU50" s="40"/>
      <c r="BV50" s="26"/>
      <c r="BW50" s="40"/>
      <c r="BX50" s="26"/>
      <c r="CD50" s="26"/>
      <c r="CF50" s="26"/>
      <c r="CG50" s="40"/>
      <c r="CH50" s="26"/>
      <c r="CI50" s="40"/>
      <c r="CJ50" s="26"/>
      <c r="CK50" s="26"/>
    </row>
    <row r="51" spans="1:89" ht="9.9499999999999993" customHeight="1">
      <c r="A51" s="28" t="str">
        <f t="shared" si="55"/>
        <v/>
      </c>
      <c r="B51" s="46" t="str">
        <f>IF(ISBLANK(BB12),"",IF(OR(P12=FALSE,R12=FALSE,T12=FALSE),"",BB12))</f>
        <v/>
      </c>
      <c r="C51" s="47" t="str">
        <f t="shared" si="58"/>
        <v/>
      </c>
      <c r="D51" s="55" t="str">
        <f t="shared" si="56"/>
        <v/>
      </c>
      <c r="E51" s="56" t="str">
        <f t="shared" si="57"/>
        <v/>
      </c>
      <c r="F51" s="35" t="str">
        <f t="shared" si="59"/>
        <v/>
      </c>
      <c r="G51" s="49" t="str">
        <f t="shared" si="60"/>
        <v/>
      </c>
      <c r="H51" s="50" t="str">
        <f t="shared" si="61"/>
        <v/>
      </c>
      <c r="I51" s="57" t="s">
        <v>59</v>
      </c>
      <c r="J51" s="57" t="s">
        <v>32</v>
      </c>
      <c r="K51" s="58" t="str">
        <f t="shared" ref="K51:M52" si="74">F51</f>
        <v/>
      </c>
      <c r="L51" s="59" t="str">
        <f t="shared" si="74"/>
        <v/>
      </c>
      <c r="M51" s="60" t="str">
        <f t="shared" si="74"/>
        <v/>
      </c>
      <c r="N51" s="61" t="str">
        <f t="shared" si="63"/>
        <v/>
      </c>
      <c r="O51" s="61" t="str">
        <f>IF(OR(N50="",N51=""),"",N51-N50)</f>
        <v/>
      </c>
      <c r="P51" s="32" t="b">
        <v>1</v>
      </c>
      <c r="Q51" s="61" t="str">
        <f t="shared" ref="Q51:Q52" si="75">IF(P51=TRUE,IF(O51="","",IF(O51&gt;360,(O51-360),IF(O51&lt;0,(O51+360),O51))),IF(O51="","",IF(O51&gt;360,(O51-360),IF(O51&lt;0,(O51+360),O51))))</f>
        <v/>
      </c>
      <c r="R51" s="32" t="b">
        <v>1</v>
      </c>
      <c r="S51" s="61" t="str">
        <f>IF(AND(P51=TRUE,P52=TRUE),IF(AND(Q51="",Q52=""),"",AVERAGE(Q51:Q52)),IF(P51=TRUE,Q51,IF(P52=TRUE,Q52,"")))</f>
        <v/>
      </c>
      <c r="T51" s="32" t="b">
        <v>1</v>
      </c>
      <c r="U51" s="61" t="str">
        <f>IF(AND(R51=TRUE,R55=TRUE),IF(AND(S51="",S55=""),"",AVERAGE(S51,S55)),IF(R51=TRUE,S51,IF(R55=TRUE,S55,"")))</f>
        <v/>
      </c>
      <c r="X51" s="62" t="str">
        <f t="shared" si="65"/>
        <v>-</v>
      </c>
      <c r="Y51" s="63" t="str">
        <f t="shared" si="66"/>
        <v>-</v>
      </c>
      <c r="Z51" s="64" t="str">
        <f t="shared" si="67"/>
        <v>-</v>
      </c>
      <c r="AB51" s="62" t="str">
        <f>IF(Q51="","-",TRUNC(Q51))</f>
        <v>-</v>
      </c>
      <c r="AC51" s="63" t="str">
        <f>IF(Q51="","-",TRUNC((Q51-AB51)*60))</f>
        <v>-</v>
      </c>
      <c r="AD51" s="64" t="str">
        <f>IF(Q51="","-",((Q51-AB51)*60-AC51)*60)</f>
        <v>-</v>
      </c>
      <c r="AJ51" s="57"/>
      <c r="AK51" s="57"/>
      <c r="AL51" s="57"/>
      <c r="AO51" s="69"/>
      <c r="AP51" s="47" t="str">
        <f>IF(BL7="","",BL7)</f>
        <v/>
      </c>
      <c r="AQ51" s="29"/>
      <c r="AR51" s="29"/>
      <c r="AU51" s="57"/>
      <c r="AY51" s="57"/>
      <c r="AZ51" s="51">
        <f>IF(AZ50="","",AZ50+1)</f>
        <v>10</v>
      </c>
      <c r="BA51" s="57"/>
      <c r="BB51" s="51">
        <f>IF(BB50="","",BB50+1)</f>
        <v>10</v>
      </c>
      <c r="BG51" s="26"/>
    </row>
    <row r="52" spans="1:89" ht="9.9499999999999993" customHeight="1">
      <c r="A52" s="28" t="str">
        <f t="shared" si="55"/>
        <v/>
      </c>
      <c r="B52" s="46" t="str">
        <f>IF(ISBLANK(BB13),"",IF(OR(P13=FALSE,R12=FALSE,T12=FALSE),"",BB13))</f>
        <v/>
      </c>
      <c r="C52" s="47" t="str">
        <f t="shared" si="58"/>
        <v/>
      </c>
      <c r="D52" s="55" t="str">
        <f t="shared" si="56"/>
        <v/>
      </c>
      <c r="E52" s="56" t="str">
        <f t="shared" si="57"/>
        <v/>
      </c>
      <c r="F52" s="35" t="str">
        <f t="shared" si="59"/>
        <v/>
      </c>
      <c r="G52" s="49" t="str">
        <f t="shared" si="60"/>
        <v/>
      </c>
      <c r="H52" s="50" t="str">
        <f t="shared" si="61"/>
        <v/>
      </c>
      <c r="I52" s="57" t="s">
        <v>59</v>
      </c>
      <c r="J52" s="57" t="s">
        <v>60</v>
      </c>
      <c r="K52" s="58" t="str">
        <f t="shared" si="74"/>
        <v/>
      </c>
      <c r="L52" s="59" t="str">
        <f t="shared" si="74"/>
        <v/>
      </c>
      <c r="M52" s="60" t="str">
        <f t="shared" si="74"/>
        <v/>
      </c>
      <c r="N52" s="61" t="str">
        <f t="shared" si="63"/>
        <v/>
      </c>
      <c r="O52" s="61" t="str">
        <f>IF(OR(N52="",N53=""),"",N52-N53)</f>
        <v/>
      </c>
      <c r="P52" s="32" t="b">
        <v>1</v>
      </c>
      <c r="Q52" s="61" t="str">
        <f t="shared" si="75"/>
        <v/>
      </c>
      <c r="X52" s="62" t="str">
        <f t="shared" si="65"/>
        <v>-</v>
      </c>
      <c r="Y52" s="63" t="str">
        <f t="shared" si="66"/>
        <v>-</v>
      </c>
      <c r="Z52" s="64" t="str">
        <f t="shared" si="67"/>
        <v>-</v>
      </c>
      <c r="AB52" s="62" t="str">
        <f>IF(Q52="","-",TRUNC(Q52))</f>
        <v>-</v>
      </c>
      <c r="AC52" s="63" t="str">
        <f>IF(Q52="","-",TRUNC((Q52-AB52)*60))</f>
        <v>-</v>
      </c>
      <c r="AD52" s="64" t="str">
        <f>IF(Q52="","-",((Q52-AB52)*60-AC52)*60)</f>
        <v>-</v>
      </c>
      <c r="AF52" s="62" t="str">
        <f>IF(S51="","-",TRUNC(S51))</f>
        <v>-</v>
      </c>
      <c r="AG52" s="63" t="str">
        <f>IF(S51="","-",TRUNC((S51-AF52)*60))</f>
        <v>-</v>
      </c>
      <c r="AH52" s="64" t="str">
        <f>IF(S51="","-",((S51-AF52)*60-AG52)*60)</f>
        <v>-</v>
      </c>
      <c r="AJ52" s="57"/>
      <c r="AK52" s="57"/>
      <c r="AL52" s="57"/>
      <c r="AO52" s="69"/>
      <c r="AQ52" s="29"/>
      <c r="AR52" s="29"/>
      <c r="AU52" s="57"/>
      <c r="AY52" s="57"/>
      <c r="AZ52" s="51">
        <f t="shared" ref="AZ52:AZ53" si="76">IF(AZ51="","",AZ51+1)</f>
        <v>11</v>
      </c>
      <c r="BA52" s="57"/>
      <c r="BB52" s="51">
        <f t="shared" ref="BB52:BB53" si="77">IF(BB51="","",BB51+1)</f>
        <v>11</v>
      </c>
      <c r="BG52" s="26"/>
    </row>
    <row r="53" spans="1:89" ht="9.9499999999999993" customHeight="1">
      <c r="A53" s="28" t="str">
        <f t="shared" si="55"/>
        <v/>
      </c>
      <c r="B53" s="46" t="str">
        <f>IF(ISBLANK(BB14),"",BB14)</f>
        <v/>
      </c>
      <c r="C53" s="47" t="str">
        <f t="shared" si="58"/>
        <v/>
      </c>
      <c r="D53" s="55" t="str">
        <f t="shared" si="56"/>
        <v/>
      </c>
      <c r="E53" s="56" t="str">
        <f t="shared" si="57"/>
        <v/>
      </c>
      <c r="F53" s="35" t="str">
        <f t="shared" si="59"/>
        <v/>
      </c>
      <c r="G53" s="49" t="str">
        <f t="shared" si="60"/>
        <v/>
      </c>
      <c r="H53" s="50" t="str">
        <f t="shared" si="61"/>
        <v/>
      </c>
      <c r="I53" s="57" t="s">
        <v>12</v>
      </c>
      <c r="J53" s="57" t="s">
        <v>60</v>
      </c>
      <c r="K53" s="58">
        <v>0</v>
      </c>
      <c r="L53" s="59">
        <v>0</v>
      </c>
      <c r="M53" s="60">
        <v>0</v>
      </c>
      <c r="N53" s="61" t="str">
        <f t="shared" si="63"/>
        <v/>
      </c>
      <c r="X53" s="62" t="str">
        <f t="shared" si="65"/>
        <v>-</v>
      </c>
      <c r="Y53" s="63" t="str">
        <f t="shared" si="66"/>
        <v>-</v>
      </c>
      <c r="Z53" s="64" t="str">
        <f t="shared" si="67"/>
        <v>-</v>
      </c>
      <c r="AO53" s="69"/>
      <c r="AQ53" s="29"/>
      <c r="AR53" s="29"/>
      <c r="AU53" s="57"/>
      <c r="AY53" s="57"/>
      <c r="AZ53" s="51">
        <f t="shared" si="76"/>
        <v>12</v>
      </c>
      <c r="BA53" s="57"/>
      <c r="BB53" s="51">
        <f t="shared" si="77"/>
        <v>12</v>
      </c>
      <c r="BG53" s="26"/>
    </row>
    <row r="54" spans="1:89" ht="9.9499999999999993" customHeight="1">
      <c r="A54" s="28" t="str">
        <f t="shared" si="55"/>
        <v/>
      </c>
      <c r="B54" s="46" t="str">
        <f>IF(ISBLANK(BB15),"",BB15)</f>
        <v/>
      </c>
      <c r="C54" s="47" t="str">
        <f t="shared" si="58"/>
        <v/>
      </c>
      <c r="D54" s="55" t="str">
        <f t="shared" si="56"/>
        <v/>
      </c>
      <c r="E54" s="56" t="str">
        <f t="shared" si="57"/>
        <v/>
      </c>
      <c r="F54" s="35" t="str">
        <f t="shared" si="59"/>
        <v/>
      </c>
      <c r="G54" s="49" t="str">
        <f t="shared" si="60"/>
        <v/>
      </c>
      <c r="H54" s="50" t="str">
        <f t="shared" si="61"/>
        <v/>
      </c>
      <c r="I54" s="57" t="s">
        <v>12</v>
      </c>
      <c r="J54" s="57" t="s">
        <v>32</v>
      </c>
      <c r="K54" s="58">
        <v>0</v>
      </c>
      <c r="L54" s="59">
        <v>0</v>
      </c>
      <c r="M54" s="60">
        <v>0</v>
      </c>
      <c r="N54" s="61" t="str">
        <f t="shared" si="63"/>
        <v/>
      </c>
      <c r="X54" s="62" t="str">
        <f t="shared" si="65"/>
        <v>-</v>
      </c>
      <c r="Y54" s="63" t="str">
        <f t="shared" si="66"/>
        <v>-</v>
      </c>
      <c r="Z54" s="64" t="str">
        <f t="shared" si="67"/>
        <v>-</v>
      </c>
      <c r="AJ54" s="62" t="str">
        <f>IF(U51="","-",TRUNC(U51))</f>
        <v>-</v>
      </c>
      <c r="AK54" s="63" t="str">
        <f>IF(U51="","-",TRUNC((U51-AJ54)*60))</f>
        <v>-</v>
      </c>
      <c r="AL54" s="64" t="str">
        <f>IF(U51="","-",((U51-AJ54)*60-AK54)*60)</f>
        <v>-</v>
      </c>
      <c r="AO54" s="69"/>
      <c r="AQ54" s="29"/>
      <c r="AR54" s="29"/>
      <c r="AU54" s="57"/>
      <c r="AY54" s="57">
        <f>IF(AV46="","",AV46)</f>
        <v>4</v>
      </c>
      <c r="AZ54" s="95">
        <f>IF(AV46="","",IF(ISERROR(VLOOKUP(AV46,$BN$3:$BO$42,2,FALSE)),"",VLOOKUP(AV46,$BN$3:$BO$42,2,FALSE)))</f>
        <v>13</v>
      </c>
      <c r="BA54" s="57">
        <f>IF(AW46="","",AW46)</f>
        <v>4</v>
      </c>
      <c r="BB54" s="95">
        <f>IF(AW46="","",IF(ISERROR(VLOOKUP(AW46,$BZ$3:$CA$42,2,FALSE)),"",VLOOKUP(AW46,$BZ$3:$CA$42,2,FALSE)))</f>
        <v>13</v>
      </c>
    </row>
    <row r="55" spans="1:89" ht="9.9499999999999993" customHeight="1">
      <c r="A55" s="28" t="str">
        <f t="shared" si="55"/>
        <v/>
      </c>
      <c r="B55" s="46" t="str">
        <f>IF(ISBLANK(BB16),"",IF(OR(P16=FALSE,R16=FALSE,T12=FALSE),"",BB16))</f>
        <v/>
      </c>
      <c r="C55" s="47" t="str">
        <f t="shared" si="58"/>
        <v/>
      </c>
      <c r="D55" s="55" t="str">
        <f t="shared" si="56"/>
        <v/>
      </c>
      <c r="E55" s="56" t="str">
        <f t="shared" si="57"/>
        <v/>
      </c>
      <c r="F55" s="35" t="str">
        <f t="shared" si="59"/>
        <v/>
      </c>
      <c r="G55" s="49" t="str">
        <f t="shared" si="60"/>
        <v/>
      </c>
      <c r="H55" s="50" t="str">
        <f t="shared" si="61"/>
        <v/>
      </c>
      <c r="I55" s="57" t="s">
        <v>59</v>
      </c>
      <c r="J55" s="57" t="s">
        <v>32</v>
      </c>
      <c r="K55" s="58" t="str">
        <f t="shared" ref="K55:M56" si="78">F55</f>
        <v/>
      </c>
      <c r="L55" s="59" t="str">
        <f t="shared" si="78"/>
        <v/>
      </c>
      <c r="M55" s="60" t="str">
        <f t="shared" si="78"/>
        <v/>
      </c>
      <c r="N55" s="61" t="str">
        <f t="shared" si="63"/>
        <v/>
      </c>
      <c r="O55" s="61" t="str">
        <f>IF(OR(N54="",N55=""),"",N55-N54)</f>
        <v/>
      </c>
      <c r="P55" s="32" t="b">
        <v>1</v>
      </c>
      <c r="Q55" s="61" t="str">
        <f t="shared" ref="Q55:Q56" si="79">IF(P55=TRUE,IF(O55="","",IF(O55&gt;360,(O55-360),IF(O55&lt;0,(O55+360),O55))),IF(O55="","",IF(O55&gt;360,(O55-360),IF(O55&lt;0,(O55+360),O55))))</f>
        <v/>
      </c>
      <c r="R55" s="32" t="b">
        <v>1</v>
      </c>
      <c r="S55" s="61" t="str">
        <f>IF(AND(P55=TRUE,P56=TRUE),IF(AND(Q55="",Q56=""),"",AVERAGE(Q55:Q56)),IF(P55=TRUE,Q55,IF(P56=TRUE,Q56,"")))</f>
        <v/>
      </c>
      <c r="X55" s="62" t="str">
        <f t="shared" si="65"/>
        <v>-</v>
      </c>
      <c r="Y55" s="63" t="str">
        <f t="shared" si="66"/>
        <v>-</v>
      </c>
      <c r="Z55" s="64" t="str">
        <f t="shared" si="67"/>
        <v>-</v>
      </c>
      <c r="AB55" s="62" t="str">
        <f>IF(Q55="","-",TRUNC(Q55))</f>
        <v>-</v>
      </c>
      <c r="AC55" s="63" t="str">
        <f>IF(Q55="","-",TRUNC((Q55-AB55)*60))</f>
        <v>-</v>
      </c>
      <c r="AD55" s="64" t="str">
        <f>IF(Q55="","-",((Q55-AB55)*60-AC55)*60)</f>
        <v>-</v>
      </c>
      <c r="AF55" s="57"/>
      <c r="AG55" s="57"/>
      <c r="AH55" s="57"/>
      <c r="AI55" s="57"/>
      <c r="AO55" s="69"/>
      <c r="AQ55" s="29"/>
      <c r="AR55" s="29"/>
      <c r="AU55" s="57"/>
      <c r="AY55" s="57"/>
      <c r="AZ55" s="51">
        <f>IF(AZ54="","",AZ54+1)</f>
        <v>14</v>
      </c>
      <c r="BA55" s="57"/>
      <c r="BB55" s="51">
        <f>IF(BB54="","",BB54+1)</f>
        <v>14</v>
      </c>
    </row>
    <row r="56" spans="1:89" ht="9.9499999999999993" customHeight="1">
      <c r="A56" s="28" t="str">
        <f t="shared" si="55"/>
        <v/>
      </c>
      <c r="B56" s="46" t="str">
        <f>IF(ISBLANK(BB17),"",IF(OR(P17=FALSE,R16=FALSE,T12=FALSE),"",BB17))</f>
        <v/>
      </c>
      <c r="C56" s="47" t="str">
        <f t="shared" si="58"/>
        <v/>
      </c>
      <c r="D56" s="55" t="str">
        <f t="shared" si="56"/>
        <v/>
      </c>
      <c r="E56" s="56" t="str">
        <f t="shared" si="57"/>
        <v/>
      </c>
      <c r="F56" s="35" t="str">
        <f t="shared" si="59"/>
        <v/>
      </c>
      <c r="G56" s="49" t="str">
        <f t="shared" si="60"/>
        <v/>
      </c>
      <c r="H56" s="50" t="str">
        <f t="shared" si="61"/>
        <v/>
      </c>
      <c r="I56" s="57" t="s">
        <v>59</v>
      </c>
      <c r="J56" s="57" t="s">
        <v>60</v>
      </c>
      <c r="K56" s="58" t="str">
        <f t="shared" si="78"/>
        <v/>
      </c>
      <c r="L56" s="59" t="str">
        <f t="shared" si="78"/>
        <v/>
      </c>
      <c r="M56" s="60" t="str">
        <f t="shared" si="78"/>
        <v/>
      </c>
      <c r="N56" s="61" t="str">
        <f t="shared" si="63"/>
        <v/>
      </c>
      <c r="O56" s="61" t="str">
        <f>IF(OR(N56="",N57=""),"",N56-N57)</f>
        <v/>
      </c>
      <c r="P56" s="32" t="b">
        <v>1</v>
      </c>
      <c r="Q56" s="61" t="str">
        <f t="shared" si="79"/>
        <v/>
      </c>
      <c r="X56" s="62" t="str">
        <f t="shared" si="65"/>
        <v>-</v>
      </c>
      <c r="Y56" s="63" t="str">
        <f t="shared" si="66"/>
        <v>-</v>
      </c>
      <c r="Z56" s="64" t="str">
        <f t="shared" si="67"/>
        <v>-</v>
      </c>
      <c r="AB56" s="62" t="str">
        <f>IF(Q56="","-",TRUNC(Q56))</f>
        <v>-</v>
      </c>
      <c r="AC56" s="63" t="str">
        <f>IF(Q56="","-",TRUNC((Q56-AB56)*60))</f>
        <v>-</v>
      </c>
      <c r="AD56" s="64" t="str">
        <f>IF(Q56="","-",((Q56-AB56)*60-AC56)*60)</f>
        <v>-</v>
      </c>
      <c r="AF56" s="62" t="str">
        <f>IF(S55="","-",TRUNC(S55))</f>
        <v>-</v>
      </c>
      <c r="AG56" s="63" t="str">
        <f>IF(S55="","-",TRUNC((S55-AF56)*60))</f>
        <v>-</v>
      </c>
      <c r="AH56" s="64" t="str">
        <f>IF(S55="","-",((S55-AF56)*60-AG56)*60)</f>
        <v>-</v>
      </c>
      <c r="AO56" s="69"/>
      <c r="AQ56" s="29"/>
      <c r="AR56" s="29"/>
      <c r="AU56" s="57"/>
      <c r="AY56" s="57"/>
      <c r="AZ56" s="51">
        <f t="shared" ref="AZ56:AZ57" si="80">IF(AZ55="","",AZ55+1)</f>
        <v>15</v>
      </c>
      <c r="BA56" s="57"/>
      <c r="BB56" s="51">
        <f t="shared" ref="BB56:BB57" si="81">IF(BB55="","",BB55+1)</f>
        <v>15</v>
      </c>
    </row>
    <row r="57" spans="1:89" ht="9.9499999999999993" customHeight="1">
      <c r="A57" s="28" t="str">
        <f t="shared" si="55"/>
        <v/>
      </c>
      <c r="B57" s="46" t="str">
        <f>IF(ISBLANK(BB18),"",BB18)</f>
        <v/>
      </c>
      <c r="C57" s="47" t="str">
        <f t="shared" si="58"/>
        <v/>
      </c>
      <c r="D57" s="55" t="str">
        <f t="shared" si="56"/>
        <v/>
      </c>
      <c r="E57" s="56" t="str">
        <f t="shared" si="57"/>
        <v/>
      </c>
      <c r="F57" s="35" t="str">
        <f t="shared" si="59"/>
        <v/>
      </c>
      <c r="G57" s="49" t="str">
        <f t="shared" si="60"/>
        <v/>
      </c>
      <c r="H57" s="50" t="str">
        <f t="shared" si="61"/>
        <v/>
      </c>
      <c r="I57" s="57" t="s">
        <v>12</v>
      </c>
      <c r="J57" s="57" t="s">
        <v>60</v>
      </c>
      <c r="K57" s="58">
        <v>0</v>
      </c>
      <c r="L57" s="59">
        <v>0</v>
      </c>
      <c r="M57" s="60">
        <v>0</v>
      </c>
      <c r="N57" s="61" t="str">
        <f t="shared" si="63"/>
        <v/>
      </c>
      <c r="X57" s="62" t="str">
        <f t="shared" si="65"/>
        <v>-</v>
      </c>
      <c r="Y57" s="63" t="str">
        <f t="shared" si="66"/>
        <v>-</v>
      </c>
      <c r="Z57" s="64" t="str">
        <f t="shared" si="67"/>
        <v>-</v>
      </c>
      <c r="AA57" s="80"/>
      <c r="AB57" s="81"/>
      <c r="AC57" s="82"/>
      <c r="AD57" s="80"/>
      <c r="AE57" s="80"/>
      <c r="AF57" s="81"/>
      <c r="AG57" s="82"/>
      <c r="AH57" s="80"/>
      <c r="AI57" s="80"/>
      <c r="AJ57" s="81"/>
      <c r="AK57" s="82"/>
      <c r="AL57" s="80"/>
      <c r="AM57" s="81"/>
      <c r="AN57" s="82"/>
      <c r="AO57" s="83"/>
      <c r="AQ57" s="29"/>
      <c r="AR57" s="29"/>
      <c r="AU57" s="57"/>
      <c r="AY57" s="57"/>
      <c r="AZ57" s="51">
        <f t="shared" si="80"/>
        <v>16</v>
      </c>
      <c r="BA57" s="57"/>
      <c r="BB57" s="51">
        <f t="shared" si="81"/>
        <v>16</v>
      </c>
    </row>
    <row r="58" spans="1:89" ht="9.9499999999999993" customHeight="1">
      <c r="AT58" s="98" t="s">
        <v>71</v>
      </c>
    </row>
    <row r="59" spans="1:89" ht="12" customHeight="1">
      <c r="AT59" s="99" t="s">
        <v>72</v>
      </c>
    </row>
    <row r="60" spans="1:89" ht="12" customHeight="1">
      <c r="AT60" s="99" t="s">
        <v>70</v>
      </c>
    </row>
    <row r="61" spans="1:89" ht="12" customHeight="1"/>
    <row r="62" spans="1:89" ht="12" customHeight="1"/>
    <row r="63" spans="1:89" ht="12" customHeight="1"/>
    <row r="64" spans="1:89" ht="12" customHeight="1"/>
    <row r="65" ht="12" customHeight="1"/>
    <row r="66" ht="12" customHeight="1"/>
    <row r="67" ht="12" customHeight="1"/>
    <row r="68" ht="12" customHeight="1"/>
    <row r="69" ht="12" customHeight="1"/>
    <row r="70" ht="12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85" spans="61:61">
      <c r="BI85" s="45"/>
    </row>
    <row r="86" spans="61:61">
      <c r="BI86" s="45"/>
    </row>
    <row r="87" spans="61:61">
      <c r="BI87" s="45"/>
    </row>
  </sheetData>
  <dataConsolidate/>
  <mergeCells count="23">
    <mergeCell ref="AM21:AO21"/>
    <mergeCell ref="I1:J1"/>
    <mergeCell ref="K1:M1"/>
    <mergeCell ref="X1:Z1"/>
    <mergeCell ref="AB1:AD1"/>
    <mergeCell ref="AF1:AH1"/>
    <mergeCell ref="AJ1:AL1"/>
    <mergeCell ref="BO1:BY1"/>
    <mergeCell ref="CA1:CK1"/>
    <mergeCell ref="AM40:AO40"/>
    <mergeCell ref="I40:J40"/>
    <mergeCell ref="K40:M40"/>
    <mergeCell ref="X40:Z40"/>
    <mergeCell ref="AB40:AD40"/>
    <mergeCell ref="AF40:AH40"/>
    <mergeCell ref="AJ40:AL40"/>
    <mergeCell ref="AM1:AO1"/>
    <mergeCell ref="I21:J21"/>
    <mergeCell ref="K21:M21"/>
    <mergeCell ref="X21:Z21"/>
    <mergeCell ref="AB21:AD21"/>
    <mergeCell ref="AF21:AH21"/>
    <mergeCell ref="AJ21:AL21"/>
  </mergeCells>
  <conditionalFormatting sqref="AT1:AT1048576">
    <cfRule type="cellIs" dxfId="21" priority="20" stopIfTrue="1" operator="equal">
      <formula>"ปรับแก้"</formula>
    </cfRule>
  </conditionalFormatting>
  <conditionalFormatting sqref="AT41:AT57">
    <cfRule type="cellIs" dxfId="20" priority="19" stopIfTrue="1" operator="equal">
      <formula>"ปรับแก้"</formula>
    </cfRule>
  </conditionalFormatting>
  <conditionalFormatting sqref="AT40:AT57">
    <cfRule type="cellIs" dxfId="19" priority="18" stopIfTrue="1" operator="equal">
      <formula>"ปรับแก้"</formula>
    </cfRule>
  </conditionalFormatting>
  <conditionalFormatting sqref="AT18:AT21">
    <cfRule type="cellIs" dxfId="18" priority="17" stopIfTrue="1" operator="equal">
      <formula>"ปรับแก้"</formula>
    </cfRule>
  </conditionalFormatting>
  <conditionalFormatting sqref="W3 W18 P4:P17 W23 W38 P24:P37 W42 W57 P43:P56">
    <cfRule type="containsText" dxfId="17" priority="15" operator="containsText" text="TRUE">
      <formula>NOT(ISERROR(SEARCH("TRUE",P3)))</formula>
    </cfRule>
    <cfRule type="containsText" dxfId="16" priority="16" operator="containsText" text="FALSE">
      <formula>NOT(ISERROR(SEARCH("FALSE",P3)))</formula>
    </cfRule>
  </conditionalFormatting>
  <conditionalFormatting sqref="AB4:AD17 AB24:AD37 AB43:AD56">
    <cfRule type="expression" dxfId="15" priority="21">
      <formula>$P4=FALSE</formula>
    </cfRule>
  </conditionalFormatting>
  <conditionalFormatting sqref="Q1:Q1048576">
    <cfRule type="expression" dxfId="14" priority="22">
      <formula>P1=FALSE</formula>
    </cfRule>
  </conditionalFormatting>
  <conditionalFormatting sqref="R4:R17 R24:R37 R43:R56">
    <cfRule type="containsText" dxfId="13" priority="13" operator="containsText" text="FALSE">
      <formula>NOT(ISERROR(SEARCH("FALSE",R4)))</formula>
    </cfRule>
    <cfRule type="containsText" dxfId="12" priority="14" operator="containsText" text="TRUE">
      <formula>NOT(ISERROR(SEARCH("TRUE",R4)))</formula>
    </cfRule>
  </conditionalFormatting>
  <conditionalFormatting sqref="S8 S43 S47 S51 S55 S12 S16 S4">
    <cfRule type="expression" dxfId="11" priority="12">
      <formula>R4=FALSE</formula>
    </cfRule>
  </conditionalFormatting>
  <conditionalFormatting sqref="AF3:AH18 AF23:AH38 AF42:AH57">
    <cfRule type="expression" dxfId="10" priority="11">
      <formula>$R2=FALSE</formula>
    </cfRule>
  </conditionalFormatting>
  <conditionalFormatting sqref="T4:T17 T24:T37 T43:T56">
    <cfRule type="containsText" dxfId="9" priority="9" operator="containsText" text="FALSE">
      <formula>NOT(ISERROR(SEARCH("FALSE",T4)))</formula>
    </cfRule>
    <cfRule type="containsText" dxfId="8" priority="10" operator="containsText" text="TRUE">
      <formula>NOT(ISERROR(SEARCH("TRUE",T4)))</formula>
    </cfRule>
  </conditionalFormatting>
  <conditionalFormatting sqref="U33:U42 U1:U3 U23 U13:U17 U52:U1048576">
    <cfRule type="expression" dxfId="7" priority="8">
      <formula>$T1=FALSE</formula>
    </cfRule>
  </conditionalFormatting>
  <conditionalFormatting sqref="AJ7:AL15 AJ27:AL35 AJ46:AL54">
    <cfRule type="expression" dxfId="6" priority="7">
      <formula>$T4=FALSE</formula>
    </cfRule>
  </conditionalFormatting>
  <conditionalFormatting sqref="U43:U51">
    <cfRule type="expression" dxfId="5" priority="6">
      <formula>$T43=FALSE</formula>
    </cfRule>
  </conditionalFormatting>
  <conditionalFormatting sqref="S24 S28 S32 S36">
    <cfRule type="expression" dxfId="4" priority="5">
      <formula>R24=FALSE</formula>
    </cfRule>
  </conditionalFormatting>
  <conditionalFormatting sqref="U24:U32">
    <cfRule type="expression" dxfId="3" priority="4">
      <formula>$T24=FALSE</formula>
    </cfRule>
  </conditionalFormatting>
  <conditionalFormatting sqref="U4:U12">
    <cfRule type="expression" dxfId="2" priority="3">
      <formula>$T4=FALSE</formula>
    </cfRule>
  </conditionalFormatting>
  <conditionalFormatting sqref="AW1">
    <cfRule type="containsText" dxfId="1" priority="1" operator="containsText" text="FALSE">
      <formula>NOT(ISERROR(SEARCH("FALSE",AW1)))</formula>
    </cfRule>
    <cfRule type="containsText" dxfId="0" priority="2" operator="containsText" text="TRUE">
      <formula>NOT(ISERROR(SEARCH("TRUE",AW1)))</formula>
    </cfRule>
  </conditionalFormatting>
  <dataValidations count="1">
    <dataValidation type="list" allowBlank="1" showInputMessage="1" showErrorMessage="1" sqref="AV43:AW46">
      <formula1>"1,2,3,4,5,6,7,8,9,10"</formula1>
    </dataValidation>
  </dataValidations>
  <printOptions horizontalCentered="1" verticalCentered="1"/>
  <pageMargins left="0.62992125984251968" right="0.19685039370078741" top="0.39370078740157483" bottom="0.19685039370078741" header="0.19685039370078741" footer="0"/>
  <pageSetup paperSize="9" scale="98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</xdr:row>
                    <xdr:rowOff>142875</xdr:rowOff>
                  </from>
                  <to>
                    <xdr:col>27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</xdr:row>
                    <xdr:rowOff>142875</xdr:rowOff>
                  </from>
                  <to>
                    <xdr:col>27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6</xdr:row>
                    <xdr:rowOff>142875</xdr:rowOff>
                  </from>
                  <to>
                    <xdr:col>27</xdr:col>
                    <xdr:colOff>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7</xdr:row>
                    <xdr:rowOff>142875</xdr:rowOff>
                  </from>
                  <to>
                    <xdr:col>27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10</xdr:row>
                    <xdr:rowOff>142875</xdr:rowOff>
                  </from>
                  <to>
                    <xdr:col>27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11</xdr:row>
                    <xdr:rowOff>142875</xdr:rowOff>
                  </from>
                  <to>
                    <xdr:col>27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14</xdr:row>
                    <xdr:rowOff>142875</xdr:rowOff>
                  </from>
                  <to>
                    <xdr:col>27</xdr:col>
                    <xdr:colOff>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15</xdr:row>
                    <xdr:rowOff>142875</xdr:rowOff>
                  </from>
                  <to>
                    <xdr:col>27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22</xdr:row>
                    <xdr:rowOff>142875</xdr:rowOff>
                  </from>
                  <to>
                    <xdr:col>27</xdr:col>
                    <xdr:colOff>0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23</xdr:row>
                    <xdr:rowOff>142875</xdr:rowOff>
                  </from>
                  <to>
                    <xdr:col>27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Check Box 11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26</xdr:row>
                    <xdr:rowOff>142875</xdr:rowOff>
                  </from>
                  <to>
                    <xdr:col>27</xdr:col>
                    <xdr:colOff>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heck Box 12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27</xdr:row>
                    <xdr:rowOff>142875</xdr:rowOff>
                  </from>
                  <to>
                    <xdr:col>27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heck Box 13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30</xdr:row>
                    <xdr:rowOff>142875</xdr:rowOff>
                  </from>
                  <to>
                    <xdr:col>27</xdr:col>
                    <xdr:colOff>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heck Box 14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31</xdr:row>
                    <xdr:rowOff>142875</xdr:rowOff>
                  </from>
                  <to>
                    <xdr:col>27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heck Box 15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34</xdr:row>
                    <xdr:rowOff>142875</xdr:rowOff>
                  </from>
                  <to>
                    <xdr:col>27</xdr:col>
                    <xdr:colOff>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heck Box 16">
              <controlPr defaultSize="0" print="0" autoFill="0" autoLine="0" autoPict="0" altText="">
                <anchor moveWithCells="1">
                  <from>
                    <xdr:col>25</xdr:col>
                    <xdr:colOff>304800</xdr:colOff>
                    <xdr:row>35</xdr:row>
                    <xdr:rowOff>142875</xdr:rowOff>
                  </from>
                  <to>
                    <xdr:col>27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heck Box 17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42</xdr:row>
                    <xdr:rowOff>0</xdr:rowOff>
                  </from>
                  <to>
                    <xdr:col>27</xdr:col>
                    <xdr:colOff>9525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heck Box 18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43</xdr:row>
                    <xdr:rowOff>0</xdr:rowOff>
                  </from>
                  <to>
                    <xdr:col>27</xdr:col>
                    <xdr:colOff>9525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heck Box 19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46</xdr:row>
                    <xdr:rowOff>0</xdr:rowOff>
                  </from>
                  <to>
                    <xdr:col>27</xdr:col>
                    <xdr:colOff>9525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Check Box 20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47</xdr:row>
                    <xdr:rowOff>0</xdr:rowOff>
                  </from>
                  <to>
                    <xdr:col>27</xdr:col>
                    <xdr:colOff>9525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Check Box 21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50</xdr:row>
                    <xdr:rowOff>0</xdr:rowOff>
                  </from>
                  <to>
                    <xdr:col>27</xdr:col>
                    <xdr:colOff>9525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Check Box 22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51</xdr:row>
                    <xdr:rowOff>0</xdr:rowOff>
                  </from>
                  <to>
                    <xdr:col>27</xdr:col>
                    <xdr:colOff>9525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Check Box 23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54</xdr:row>
                    <xdr:rowOff>0</xdr:rowOff>
                  </from>
                  <to>
                    <xdr:col>27</xdr:col>
                    <xdr:colOff>9525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Check Box 24">
              <controlPr defaultSize="0" print="0" autoFill="0" autoLine="0" autoPict="0" altText="">
                <anchor moveWithCells="1">
                  <from>
                    <xdr:col>25</xdr:col>
                    <xdr:colOff>314325</xdr:colOff>
                    <xdr:row>55</xdr:row>
                    <xdr:rowOff>0</xdr:rowOff>
                  </from>
                  <to>
                    <xdr:col>27</xdr:col>
                    <xdr:colOff>9525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Check Box 2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</xdr:row>
                    <xdr:rowOff>142875</xdr:rowOff>
                  </from>
                  <to>
                    <xdr:col>31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Check Box 2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7</xdr:row>
                    <xdr:rowOff>142875</xdr:rowOff>
                  </from>
                  <to>
                    <xdr:col>31</xdr:col>
                    <xdr:colOff>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Check Box 27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11</xdr:row>
                    <xdr:rowOff>142875</xdr:rowOff>
                  </from>
                  <to>
                    <xdr:col>31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Check Box 28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15</xdr:row>
                    <xdr:rowOff>142875</xdr:rowOff>
                  </from>
                  <to>
                    <xdr:col>31</xdr:col>
                    <xdr:colOff>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Check Box 29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23</xdr:row>
                    <xdr:rowOff>142875</xdr:rowOff>
                  </from>
                  <to>
                    <xdr:col>31</xdr:col>
                    <xdr:colOff>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Check Box 30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27</xdr:row>
                    <xdr:rowOff>142875</xdr:rowOff>
                  </from>
                  <to>
                    <xdr:col>31</xdr:col>
                    <xdr:colOff>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34" name="Check Box 31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31</xdr:row>
                    <xdr:rowOff>142875</xdr:rowOff>
                  </from>
                  <to>
                    <xdr:col>31</xdr:col>
                    <xdr:colOff>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5" name="Check Box 32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35</xdr:row>
                    <xdr:rowOff>142875</xdr:rowOff>
                  </from>
                  <to>
                    <xdr:col>31</xdr:col>
                    <xdr:colOff>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6" name="Check Box 33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42</xdr:row>
                    <xdr:rowOff>142875</xdr:rowOff>
                  </from>
                  <to>
                    <xdr:col>31</xdr:col>
                    <xdr:colOff>0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7" name="Check Box 34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46</xdr:row>
                    <xdr:rowOff>142875</xdr:rowOff>
                  </from>
                  <to>
                    <xdr:col>31</xdr:col>
                    <xdr:colOff>0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8" name="Check Box 35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50</xdr:row>
                    <xdr:rowOff>142875</xdr:rowOff>
                  </from>
                  <to>
                    <xdr:col>31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9" name="Check Box 36">
              <controlPr defaultSize="0" print="0" autoFill="0" autoLine="0" autoPict="0" altText="">
                <anchor moveWithCells="1">
                  <from>
                    <xdr:col>29</xdr:col>
                    <xdr:colOff>304800</xdr:colOff>
                    <xdr:row>54</xdr:row>
                    <xdr:rowOff>142875</xdr:rowOff>
                  </from>
                  <to>
                    <xdr:col>31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40" name="Check Box 37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</xdr:row>
                    <xdr:rowOff>142875</xdr:rowOff>
                  </from>
                  <to>
                    <xdr:col>35</xdr:col>
                    <xdr:colOff>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41" name="Check Box 38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13</xdr:row>
                    <xdr:rowOff>142875</xdr:rowOff>
                  </from>
                  <to>
                    <xdr:col>35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42" name="Check Box 39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33</xdr:row>
                    <xdr:rowOff>142875</xdr:rowOff>
                  </from>
                  <to>
                    <xdr:col>35</xdr:col>
                    <xdr:colOff>0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43" name="Check Box 40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52</xdr:row>
                    <xdr:rowOff>142875</xdr:rowOff>
                  </from>
                  <to>
                    <xdr:col>35</xdr:col>
                    <xdr:colOff>0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44" name="Check Box 41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44</xdr:row>
                    <xdr:rowOff>142875</xdr:rowOff>
                  </from>
                  <to>
                    <xdr:col>35</xdr:col>
                    <xdr:colOff>0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45" name="Check Box 42">
              <controlPr defaultSize="0" print="0" autoFill="0" autoLine="0" autoPict="0" altText="">
                <anchor moveWithCells="1">
                  <from>
                    <xdr:col>33</xdr:col>
                    <xdr:colOff>304800</xdr:colOff>
                    <xdr:row>25</xdr:row>
                    <xdr:rowOff>142875</xdr:rowOff>
                  </from>
                  <to>
                    <xdr:col>35</xdr:col>
                    <xdr:colOff>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B3BF65-BD65-47FF-9596-A3739A53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TOPCON-TS RAW</vt:lpstr>
      <vt:lpstr>CLEAN-TS RAW</vt:lpstr>
      <vt:lpstr>TRAV STARNET-3D</vt:lpstr>
      <vt:lpstr>CLOSE TRAVERSE</vt:lpstr>
      <vt:lpstr>OPEN TRAV-3D</vt:lpstr>
      <vt:lpstr>SUM-DATA</vt:lpstr>
      <vt:lpstr>ANG-SET</vt:lpstr>
      <vt:lpstr>'ANG-SET'!Print_Area</vt:lpstr>
      <vt:lpstr>'CLOSE TRAVERSE'!Print_Area</vt:lpstr>
      <vt:lpstr>'OPEN TRAV-3D'!Print_Area</vt:lpstr>
      <vt:lpstr>'CLOSE TRAVERSE'!Print_Titles</vt:lpstr>
      <vt:lpstr>'OPEN TRAV-3D'!Print_Titles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2025-06-12T06:22:51Z</cp:lastPrinted>
  <dcterms:created xsi:type="dcterms:W3CDTF">2023-08-05T05:21:07Z</dcterms:created>
  <dcterms:modified xsi:type="dcterms:W3CDTF">2025-06-16T03:33:28Z</dcterms:modified>
</cp:coreProperties>
</file>